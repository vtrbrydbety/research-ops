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f59aa6ab3845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编码说明" sheetId="1" r:id="R8e7c7d46cbac4ada"/>
    <x:sheet xmlns:r="http://schemas.openxmlformats.org/officeDocument/2006/relationships" name="02_开放回答明细" sheetId="2" r:id="Rc00dd10cce05433e"/>
    <x:sheet xmlns:r="http://schemas.openxmlformats.org/officeDocument/2006/relationships" name="04_编码记录" sheetId="4" r:id="R2534a8f331a246c4"/>
    <x:sheet xmlns:r="http://schemas.openxmlformats.org/officeDocument/2006/relationships" name="05_主题汇总" sheetId="5" r:id="R9f78c8ec35ef4701"/>
    <x:sheet xmlns:r="http://schemas.openxmlformats.org/officeDocument/2006/relationships" name="03_代码本" sheetId="6" r:id="R60407cc5670c47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15">
    <x:font>
      <x:sz val="11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0"/>
      <x:name val="Microsoft YaHei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5"/>
      <x:color rgb="FFFFFFFF"/>
      <x:name val="Microsoft YaHei"/>
    </x:font>
    <x:font>
      <x:sz val="10"/>
      <x:color rgb="FF1F1F1F"/>
      <x:name val="Microsoft YaHei"/>
    </x:font>
    <x:font>
      <x:b/>
      <x:sz val="11"/>
      <x:color rgb="FFFFFFFF"/>
      <x:name val="Microsoft YaHei"/>
    </x:font>
    <x:font>
      <x:i/>
      <x:sz val="10"/>
      <x:color rgb="FF555555"/>
      <x:name val="Microsoft YaHei"/>
    </x:font>
    <x:font>
      <x:sz val="9"/>
      <x:name val="Microsoft YaHei"/>
    </x:font>
    <x:font>
      <x:b/>
      <x:sz val="12"/>
      <x:color rgb="FFFFFFFF"/>
      <x:name val="Microsoft YaHei"/>
    </x:font>
    <x:font>
      <x:i/>
      <x:sz val="10"/>
      <x:color rgb="FF7F6000"/>
      <x:name val="Microsoft YaHei"/>
    </x:font>
    <x:font>
      <x:b/>
      <x:sz val="9"/>
      <x:color rgb="FFFFFFFF"/>
      <x:name val="Microsoft YaHei"/>
    </x:font>
    <x:font>
      <x:b/>
      <x:sz val="10"/>
      <x:color rgb="FF1F1F1F"/>
      <x:name val="Microsoft YaHei"/>
    </x:font>
  </x:fonts>
  <x:fills count="6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E4DFE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4DFEC"/>
      </x:patternFill>
    </x:fill>
    <x:fill>
      <x:patternFill patternType="solid">
        <x:fgColor rgb="FFF2F2F2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7FBFF"/>
      </x:patternFill>
    </x:fill>
  </x:fills>
  <x:borders count="10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2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200" fontId="2" fillId="5" borderId="0" xfId="0" applyNumberFormat="1" applyFont="1" applyFill="1" applyBorder="1"/>
    <x:xf numFmtId="200" fontId="2" fillId="5" borderId="0" xfId="0" applyNumberFormat="1" applyFont="1" applyFill="1" applyBorder="1" applyAlignment="1">
      <x:alignment horizontal="center"/>
    </x:xf>
    <x:xf numFmtId="200" fontId="2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vertical="center"/>
    </x:xf>
    <x:xf numFmtId="0" fontId="2" fillId="8" borderId="0" xfId="0" applyNumberFormat="1" applyFont="1" applyFill="1" applyBorder="1" applyAlignment="1">
      <x:alignment horizontal="center" vertical="center"/>
    </x:xf>
    <x:xf numFmtId="201" fontId="2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vertical="center"/>
    </x:xf>
    <x:xf numFmtId="0" fontId="2" fillId="9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2" fillId="8" borderId="0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201" fontId="2" fillId="8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vertic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2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horizont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wrapText="1"/>
    </x:xf>
    <x:xf numFmtId="0" fontId="1" fillId="15" borderId="0" xfId="0" applyNumberFormat="1" applyFont="1" applyFill="1" applyBorder="1" applyAlignment="1">
      <x:alignment horizontal="center" wrapText="1"/>
    </x:xf>
    <x:xf numFmtId="0" fontId="1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wrapText="1"/>
    </x:xf>
    <x:xf numFmtId="0" fontId="2" fillId="16" borderId="0" xfId="0" applyNumberFormat="1" applyFont="1" applyFill="1" applyBorder="1" applyAlignment="1">
      <x:alignment vertical="top" wrapText="1"/>
    </x:xf>
    <x:xf numFmtId="0" fontId="2" fillId="17" borderId="0" xfId="0" applyNumberFormat="1" applyFont="1" applyFill="1" applyBorder="1" applyAlignment="1">
      <x:alignment vertical="top" wrapText="1"/>
    </x:xf>
    <x:xf numFmtId="0" fontId="2" fillId="16" borderId="0" xfId="0" applyNumberFormat="1" applyFont="1" applyFill="1" applyBorder="1" applyAlignment="1">
      <x:alignment horizontal="center" vertical="top" wrapText="1"/>
    </x:xf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horizontal="center"/>
    </x:xf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3" fillId="19" borderId="0" xfId="0" applyNumberFormat="1" applyFont="1" applyFill="1" applyBorder="1" applyAlignment="1">
      <x:alignment wrapText="1"/>
    </x:xf>
    <x:xf numFmtId="0" fontId="3" fillId="19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2" fillId="20" borderId="0" xfId="0" applyNumberFormat="1" applyFont="1" applyFill="1" applyBorder="1"/>
    <x:xf numFmtId="0" fontId="2" fillId="20" borderId="0" xfId="0" applyNumberFormat="1" applyFont="1" applyFill="1" applyBorder="1" applyAlignment="1">
      <x:alignment wrapText="1"/>
    </x:xf>
    <x:xf numFmtId="0" fontId="2" fillId="20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0" fillId="22" borderId="0" xfId="0" applyNumberFormat="1" applyFont="1" applyFill="1" applyBorder="1"/>
    <x:xf numFmtId="0" fontId="0" fillId="23" borderId="0" xfId="0" applyNumberFormat="1" applyFont="1" applyFill="1" applyBorder="1"/>
    <x:xf numFmtId="0" fontId="0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4" fillId="24" borderId="0" xfId="0" applyNumberFormat="1" applyFont="1" applyFill="1" applyBorder="1"/>
    <x:xf numFmtId="0" fontId="4" fillId="24" borderId="0" xfId="0" applyNumberFormat="1" applyFont="1" applyFill="1" applyBorder="1" applyAlignment="1">
      <x:alignment horizontal="center"/>
    </x:xf>
    <x:xf numFmtId="0" fontId="0" fillId="25" borderId="0" xfId="0" applyNumberFormat="1" applyFont="1" applyFill="1" applyBorder="1"/>
    <x:xf numFmtId="0" fontId="5" fillId="25" borderId="0" xfId="0" applyNumberFormat="1" applyFont="1" applyFill="1" applyBorder="1"/>
    <x:xf numFmtId="0" fontId="5" fillId="25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horizontal="center" wrapText="1"/>
    </x:xf>
    <x:xf numFmtId="0" fontId="0" fillId="26" borderId="0" xfId="0" applyNumberFormat="1" applyFont="1" applyFill="1" applyBorder="1"/>
    <x:xf numFmtId="0" fontId="4" fillId="26" borderId="0" xfId="0" applyNumberFormat="1" applyFont="1" applyFill="1" applyBorder="1"/>
    <x:xf numFmtId="0" fontId="4" fillId="26" borderId="0" xfId="0" applyNumberFormat="1" applyFont="1" applyFill="1" applyBorder="1" applyAlignment="1">
      <x:alignment horizontal="center"/>
    </x:xf>
    <x:xf numFmtId="0" fontId="0" fillId="27" borderId="0" xfId="0" applyNumberFormat="1" applyFont="1" applyFill="1" applyBorder="1"/>
    <x:xf numFmtId="0" fontId="5" fillId="27" borderId="0" xfId="0" applyNumberFormat="1" applyFont="1" applyFill="1" applyBorder="1"/>
    <x:xf numFmtId="0" fontId="5" fillId="27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/>
    <x:xf numFmtId="0" fontId="0" fillId="28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/>
    <x:xf numFmtId="0" fontId="1" fillId="29" borderId="0" xfId="0" applyNumberFormat="1" applyFont="1" applyFill="1" applyBorder="1"/>
    <x:xf numFmtId="0" fontId="1" fillId="29" borderId="0" xfId="0" applyNumberFormat="1" applyFont="1" applyFill="1" applyBorder="1" applyAlignment="1">
      <x:alignment horizontal="center"/>
    </x:xf>
    <x:xf numFmtId="0" fontId="0" fillId="30" borderId="0" xfId="0" applyNumberFormat="1" applyFont="1" applyFill="1" applyBorder="1"/>
    <x:xf numFmtId="0" fontId="3" fillId="30" borderId="0" xfId="0" applyNumberFormat="1" applyFont="1" applyFill="1" applyBorder="1"/>
    <x:xf numFmtId="0" fontId="3" fillId="30" borderId="0" xfId="0" applyNumberFormat="1" applyFont="1" applyFill="1" applyBorder="1" applyAlignment="1">
      <x:alignment wrapText="1"/>
    </x:xf>
    <x:xf numFmtId="0" fontId="3" fillId="30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/>
    <x:xf numFmtId="0" fontId="2" fillId="31" borderId="0" xfId="0" applyNumberFormat="1" applyFont="1" applyFill="1" applyBorder="1"/>
    <x:xf numFmtId="0" fontId="2" fillId="31" borderId="0" xfId="0" applyNumberFormat="1" applyFont="1" applyFill="1" applyBorder="1" applyAlignment="1">
      <x:alignment wrapText="1"/>
    </x:xf>
    <x:xf numFmtId="0" fontId="2" fillId="31" borderId="0" xfId="0" applyNumberFormat="1" applyFont="1" applyFill="1" applyBorder="1" applyAlignment="1">
      <x:alignment vertical="center" wrapText="1"/>
    </x:xf>
    <x:xf numFmtId="0" fontId="0" fillId="32" borderId="0" xfId="0" applyNumberFormat="1" applyFont="1" applyFill="1" applyBorder="1"/>
    <x:xf numFmtId="0" fontId="1" fillId="32" borderId="0" xfId="0" applyNumberFormat="1" applyFont="1" applyFill="1" applyBorder="1"/>
    <x:xf numFmtId="0" fontId="1" fillId="32" borderId="0" xfId="0" applyNumberFormat="1" applyFont="1" applyFill="1" applyBorder="1" applyAlignment="1">
      <x:alignment wrapText="1"/>
    </x:xf>
    <x:xf numFmtId="0" fontId="1" fillId="32" borderId="0" xfId="0" applyNumberFormat="1" applyFont="1" applyFill="1" applyBorder="1" applyAlignment="1">
      <x:alignment horizontal="center" wrapText="1"/>
    </x:xf>
    <x:xf numFmtId="0" fontId="1" fillId="32" borderId="0" xfId="0" applyNumberFormat="1" applyFont="1" applyFill="1" applyBorder="1" applyAlignment="1">
      <x:alignment horizontal="center" vertical="center" wrapText="1"/>
    </x:xf>
    <x:xf numFmtId="0" fontId="0" fillId="33" borderId="0" xfId="0" applyNumberFormat="1" applyFont="1" applyFill="1" applyBorder="1"/>
    <x:xf numFmtId="0" fontId="2" fillId="33" borderId="0" xfId="0" applyNumberFormat="1" applyFont="1" applyFill="1" applyBorder="1"/>
    <x:xf numFmtId="0" fontId="2" fillId="33" borderId="0" xfId="0" applyNumberFormat="1" applyFont="1" applyFill="1" applyBorder="1" applyAlignment="1">
      <x:alignment wrapText="1"/>
    </x:xf>
    <x:xf numFmtId="0" fontId="2" fillId="33" borderId="0" xfId="0" applyNumberFormat="1" applyFont="1" applyFill="1" applyBorder="1" applyAlignment="1">
      <x:alignment vertical="top" wrapText="1"/>
    </x:xf>
    <x:xf numFmtId="0" fontId="1" fillId="32" borderId="0" xfId="0" applyNumberFormat="1" applyFont="1" applyFill="1" applyBorder="1" applyAlignment="1">
      <x:alignment horizontal="center"/>
    </x:xf>
    <x:xf numFmtId="0" fontId="0" fillId="34" borderId="0" xfId="0" applyNumberFormat="1" applyFont="1" applyFill="1" applyBorder="1"/>
    <x:xf numFmtId="0" fontId="3" fillId="34" borderId="0" xfId="0" applyNumberFormat="1" applyFont="1" applyFill="1" applyBorder="1"/>
    <x:xf numFmtId="0" fontId="3" fillId="34" borderId="0" xfId="0" applyNumberFormat="1" applyFont="1" applyFill="1" applyBorder="1" applyAlignment="1">
      <x:alignment wrapText="1"/>
    </x:xf>
    <x:xf numFmtId="0" fontId="3" fillId="34" borderId="0" xfId="0" applyNumberFormat="1" applyFont="1" applyFill="1" applyBorder="1" applyAlignment="1">
      <x:alignment vertical="center" wrapText="1"/>
    </x:xf>
    <x:xf numFmtId="0" fontId="0" fillId="35" borderId="0" xfId="0" applyNumberFormat="1" applyFont="1" applyFill="1" applyBorder="1"/>
    <x:xf numFmtId="0" fontId="2" fillId="35" borderId="0" xfId="0" applyNumberFormat="1" applyFont="1" applyFill="1" applyBorder="1"/>
    <x:xf numFmtId="0" fontId="2" fillId="35" borderId="0" xfId="0" applyNumberFormat="1" applyFont="1" applyFill="1" applyBorder="1" applyAlignment="1">
      <x:alignment wrapText="1"/>
    </x:xf>
    <x:xf numFmtId="0" fontId="2" fillId="35" borderId="0" xfId="0" applyNumberFormat="1" applyFont="1" applyFill="1" applyBorder="1" applyAlignment="1">
      <x:alignment vertical="center" wrapText="1"/>
    </x:xf>
    <x:xf numFmtId="0" fontId="0" fillId="36" borderId="0" xfId="0" applyNumberFormat="1" applyFont="1" applyFill="1" applyBorder="1"/>
    <x:xf numFmtId="0" fontId="1" fillId="36" borderId="0" xfId="0" applyNumberFormat="1" applyFont="1" applyFill="1" applyBorder="1"/>
    <x:xf numFmtId="0" fontId="1" fillId="36" borderId="0" xfId="0" applyNumberFormat="1" applyFont="1" applyFill="1" applyBorder="1" applyAlignment="1">
      <x:alignment wrapText="1"/>
    </x:xf>
    <x:xf numFmtId="0" fontId="1" fillId="36" borderId="0" xfId="0" applyNumberFormat="1" applyFont="1" applyFill="1" applyBorder="1" applyAlignment="1">
      <x:alignment horizontal="center" wrapText="1"/>
    </x:xf>
    <x:xf numFmtId="0" fontId="1" fillId="36" borderId="0" xfId="0" applyNumberFormat="1" applyFont="1" applyFill="1" applyBorder="1" applyAlignment="1">
      <x:alignment horizontal="center" vertical="center" wrapText="1"/>
    </x:xf>
    <x:xf numFmtId="0" fontId="0" fillId="37" borderId="0" xfId="0" applyNumberFormat="1" applyFont="1" applyFill="1" applyBorder="1"/>
    <x:xf numFmtId="0" fontId="2" fillId="37" borderId="0" xfId="0" applyNumberFormat="1" applyFont="1" applyFill="1" applyBorder="1"/>
    <x:xf numFmtId="0" fontId="2" fillId="37" borderId="0" xfId="0" applyNumberFormat="1" applyFont="1" applyFill="1" applyBorder="1" applyAlignment="1">
      <x:alignment wrapText="1"/>
    </x:xf>
    <x:xf numFmtId="0" fontId="2" fillId="37" borderId="0" xfId="0" applyNumberFormat="1" applyFont="1" applyFill="1" applyBorder="1" applyAlignment="1">
      <x:alignment vertical="center" wrapText="1"/>
    </x:xf>
    <x:xf numFmtId="0" fontId="4" fillId="36" borderId="0" xfId="0" applyNumberFormat="1" applyFont="1" applyFill="1" applyBorder="1"/>
    <x:xf numFmtId="0" fontId="4" fillId="36" borderId="0" xfId="0" applyNumberFormat="1" applyFont="1" applyFill="1" applyBorder="1" applyAlignment="1">
      <x:alignment horizontal="center"/>
    </x:xf>
    <x:xf numFmtId="0" fontId="0" fillId="38" borderId="0" xfId="0" applyNumberFormat="1" applyFont="1" applyFill="1" applyBorder="1"/>
    <x:xf numFmtId="0" fontId="0" fillId="38" borderId="0" xfId="0" applyNumberFormat="1" applyFont="1" applyFill="1" applyBorder="1" applyAlignment="1">
      <x:alignment wrapText="1"/>
    </x:xf>
    <x:xf numFmtId="0" fontId="0" fillId="39" borderId="0" xfId="0" applyNumberFormat="1" applyFont="1" applyFill="1" applyBorder="1"/>
    <x:xf numFmtId="0" fontId="4" fillId="39" borderId="0" xfId="0" applyNumberFormat="1" applyFont="1" applyFill="1" applyBorder="1"/>
    <x:xf numFmtId="0" fontId="4" fillId="39" borderId="0" xfId="0" applyNumberFormat="1" applyFont="1" applyFill="1" applyBorder="1" applyAlignment="1">
      <x:alignment wrapText="1"/>
    </x:xf>
    <x:xf numFmtId="0" fontId="4" fillId="39" borderId="0" xfId="0" applyNumberFormat="1" applyFont="1" applyFill="1" applyBorder="1" applyAlignment="1">
      <x:alignment horizontal="center" wrapText="1"/>
    </x:xf>
    <x:xf numFmtId="0" fontId="0" fillId="40" borderId="0" xfId="0" applyNumberFormat="1" applyFont="1" applyFill="1" applyBorder="1"/>
    <x:xf numFmtId="0" fontId="0" fillId="40" borderId="0" xfId="0" applyNumberFormat="1" applyFont="1" applyFill="1" applyBorder="1" applyAlignment="1">
      <x:alignment wrapText="1"/>
    </x:xf>
    <x:xf numFmtId="0" fontId="0" fillId="40" borderId="0" xfId="0" applyNumberFormat="1" applyFont="1" applyFill="1" applyBorder="1" applyAlignment="1">
      <x:alignment vertical="center" wrapText="1"/>
    </x:xf>
    <x:xf numFmtId="0" fontId="0" fillId="41" borderId="0" xfId="0" applyNumberFormat="1" applyFont="1" applyFill="1" applyBorder="1"/>
    <x:xf numFmtId="0" fontId="1" fillId="41" borderId="0" xfId="0" applyNumberFormat="1" applyFont="1" applyFill="1" applyBorder="1"/>
    <x:xf numFmtId="0" fontId="1" fillId="41" borderId="0" xfId="0" applyNumberFormat="1" applyFont="1" applyFill="1" applyBorder="1" applyAlignment="1">
      <x:alignment wrapText="1"/>
    </x:xf>
    <x:xf numFmtId="0" fontId="1" fillId="41" borderId="0" xfId="0" applyNumberFormat="1" applyFont="1" applyFill="1" applyBorder="1" applyAlignment="1">
      <x:alignment horizontal="center" wrapText="1"/>
    </x:xf>
    <x:xf numFmtId="0" fontId="1" fillId="41" borderId="0" xfId="0" applyNumberFormat="1" applyFont="1" applyFill="1" applyBorder="1" applyAlignment="1">
      <x:alignment horizontal="center" vertical="center" wrapText="1"/>
    </x:xf>
    <x:xf numFmtId="0" fontId="0" fillId="42" borderId="0" xfId="0" applyNumberFormat="1" applyFont="1" applyFill="1" applyBorder="1"/>
    <x:xf numFmtId="0" fontId="2" fillId="42" borderId="0" xfId="0" applyNumberFormat="1" applyFont="1" applyFill="1" applyBorder="1"/>
    <x:xf numFmtId="0" fontId="2" fillId="42" borderId="0" xfId="0" applyNumberFormat="1" applyFont="1" applyFill="1" applyBorder="1" applyAlignment="1">
      <x:alignment wrapText="1"/>
    </x:xf>
    <x:xf numFmtId="0" fontId="2" fillId="42" borderId="0" xfId="0" applyNumberFormat="1" applyFont="1" applyFill="1" applyBorder="1" applyAlignment="1">
      <x:alignment vertical="center" wrapText="1"/>
    </x:xf>
    <x:xf numFmtId="0" fontId="4" fillId="41" borderId="0" xfId="0" applyNumberFormat="1" applyFont="1" applyFill="1" applyBorder="1"/>
    <x:xf numFmtId="0" fontId="4" fillId="41" borderId="0" xfId="0" applyNumberFormat="1" applyFont="1" applyFill="1" applyBorder="1" applyAlignment="1">
      <x:alignment wrapText="1"/>
    </x:xf>
    <x:xf numFmtId="0" fontId="4" fillId="41" borderId="0" xfId="0" applyNumberFormat="1" applyFont="1" applyFill="1" applyBorder="1" applyAlignment="1">
      <x:alignment horizontal="center" wrapText="1"/>
    </x:xf>
    <x:xf numFmtId="0" fontId="0" fillId="42" borderId="0" xfId="0" applyNumberFormat="1" applyFont="1" applyFill="1" applyBorder="1" applyAlignment="1">
      <x:alignment wrapText="1"/>
    </x:xf>
    <x:xf numFmtId="0" fontId="0" fillId="43" borderId="0" xfId="0" applyNumberFormat="1" applyFont="1" applyFill="1" applyBorder="1"/>
    <x:xf numFmtId="0" fontId="1" fillId="43" borderId="0" xfId="0" applyNumberFormat="1" applyFont="1" applyFill="1" applyBorder="1"/>
    <x:xf numFmtId="0" fontId="1" fillId="43" borderId="0" xfId="0" applyNumberFormat="1" applyFont="1" applyFill="1" applyBorder="1" applyAlignment="1">
      <x:alignment wrapText="1"/>
    </x:xf>
    <x:xf numFmtId="0" fontId="1" fillId="43" borderId="0" xfId="0" applyNumberFormat="1" applyFont="1" applyFill="1" applyBorder="1" applyAlignment="1">
      <x:alignment horizontal="center" wrapText="1"/>
    </x:xf>
    <x:xf numFmtId="0" fontId="1" fillId="43" borderId="0" xfId="0" applyNumberFormat="1" applyFont="1" applyFill="1" applyBorder="1" applyAlignment="1">
      <x:alignment horizontal="center" vertical="center" wrapText="1"/>
    </x:xf>
    <x:xf numFmtId="0" fontId="0" fillId="44" borderId="0" xfId="0" applyNumberFormat="1" applyFont="1" applyFill="1" applyBorder="1"/>
    <x:xf numFmtId="0" fontId="2" fillId="44" borderId="0" xfId="0" applyNumberFormat="1" applyFont="1" applyFill="1" applyBorder="1"/>
    <x:xf numFmtId="0" fontId="2" fillId="44" borderId="0" xfId="0" applyNumberFormat="1" applyFont="1" applyFill="1" applyBorder="1" applyAlignment="1">
      <x:alignment horizontal="center"/>
    </x:xf>
    <x:xf numFmtId="0" fontId="2" fillId="44" borderId="0" xfId="0" applyNumberFormat="1" applyFont="1" applyFill="1" applyBorder="1" applyAlignment="1">
      <x:alignment horizontal="center" vertical="center"/>
    </x:xf>
    <x:xf numFmtId="0" fontId="0" fillId="45" borderId="0" xfId="0" applyNumberFormat="1" applyFont="1" applyFill="1" applyBorder="1"/>
    <x:xf numFmtId="0" fontId="1" fillId="45" borderId="0" xfId="0" applyNumberFormat="1" applyFont="1" applyFill="1" applyBorder="1"/>
    <x:xf numFmtId="0" fontId="1" fillId="45" borderId="0" xfId="0" applyNumberFormat="1" applyFont="1" applyFill="1" applyBorder="1" applyAlignment="1">
      <x:alignment wrapText="1"/>
    </x:xf>
    <x:xf numFmtId="0" fontId="1" fillId="45" borderId="0" xfId="0" applyNumberFormat="1" applyFont="1" applyFill="1" applyBorder="1" applyAlignment="1">
      <x:alignment horizontal="center" wrapText="1"/>
    </x:xf>
    <x:xf numFmtId="0" fontId="1" fillId="45" borderId="0" xfId="0" applyNumberFormat="1" applyFont="1" applyFill="1" applyBorder="1" applyAlignment="1">
      <x:alignment horizontal="center" vertical="center" wrapText="1"/>
    </x:xf>
    <x:xf numFmtId="0" fontId="0" fillId="46" borderId="0" xfId="0" applyNumberFormat="1" applyFont="1" applyFill="1" applyBorder="1"/>
    <x:xf numFmtId="0" fontId="2" fillId="46" borderId="0" xfId="0" applyNumberFormat="1" applyFont="1" applyFill="1" applyBorder="1"/>
    <x:xf numFmtId="0" fontId="2" fillId="46" borderId="0" xfId="0" applyNumberFormat="1" applyFont="1" applyFill="1" applyBorder="1" applyAlignment="1">
      <x:alignment wrapText="1"/>
    </x:xf>
    <x:xf numFmtId="0" fontId="2" fillId="46" borderId="0" xfId="0" applyNumberFormat="1" applyFont="1" applyFill="1" applyBorder="1" applyAlignment="1">
      <x:alignment vertical="center" wrapText="1"/>
    </x:xf>
    <x:xf numFmtId="0" fontId="4" fillId="45" borderId="0" xfId="0" applyNumberFormat="1" applyFont="1" applyFill="1" applyBorder="1"/>
    <x:xf numFmtId="0" fontId="4" fillId="45" borderId="0" xfId="0" applyNumberFormat="1" applyFont="1" applyFill="1" applyBorder="1" applyAlignment="1">
      <x:alignment wrapText="1"/>
    </x:xf>
    <x:xf numFmtId="0" fontId="4" fillId="45" borderId="0" xfId="0" applyNumberFormat="1" applyFont="1" applyFill="1" applyBorder="1" applyAlignment="1">
      <x:alignment horizontal="center" wrapText="1"/>
    </x:xf>
    <x:xf numFmtId="0" fontId="0" fillId="46" borderId="0" xfId="0" applyNumberFormat="1" applyFont="1" applyFill="1" applyBorder="1" applyAlignment="1">
      <x:alignment wrapText="1"/>
    </x:xf>
    <x:xf numFmtId="0" fontId="0" fillId="47" borderId="0" xfId="0" applyNumberFormat="1" applyFont="1" applyFill="1" applyBorder="1"/>
    <x:xf numFmtId="0" fontId="1" fillId="47" borderId="0" xfId="0" applyNumberFormat="1" applyFont="1" applyFill="1" applyBorder="1"/>
    <x:xf numFmtId="0" fontId="1" fillId="47" borderId="0" xfId="0" applyNumberFormat="1" applyFont="1" applyFill="1" applyBorder="1" applyAlignment="1">
      <x:alignment wrapText="1"/>
    </x:xf>
    <x:xf numFmtId="0" fontId="1" fillId="47" borderId="0" xfId="0" applyNumberFormat="1" applyFont="1" applyFill="1" applyBorder="1" applyAlignment="1">
      <x:alignment horizontal="center" wrapText="1"/>
    </x:xf>
    <x:xf numFmtId="0" fontId="1" fillId="47" borderId="0" xfId="0" applyNumberFormat="1" applyFont="1" applyFill="1" applyBorder="1" applyAlignment="1">
      <x:alignment horizontal="center" vertical="center" wrapText="1"/>
    </x:xf>
    <x:xf numFmtId="0" fontId="0" fillId="48" borderId="0" xfId="0" applyNumberFormat="1" applyFont="1" applyFill="1" applyBorder="1"/>
    <x:xf numFmtId="0" fontId="2" fillId="48" borderId="0" xfId="0" applyNumberFormat="1" applyFont="1" applyFill="1" applyBorder="1"/>
    <x:xf numFmtId="0" fontId="2" fillId="48" borderId="0" xfId="0" applyNumberFormat="1" applyFont="1" applyFill="1" applyBorder="1" applyAlignment="1">
      <x:alignment wrapText="1"/>
    </x:xf>
    <x:xf numFmtId="0" fontId="2" fillId="48" borderId="0" xfId="0" applyNumberFormat="1" applyFont="1" applyFill="1" applyBorder="1" applyAlignment="1">
      <x:alignment horizontal="center" wrapText="1"/>
    </x:xf>
    <x:xf numFmtId="0" fontId="2" fillId="48" borderId="0" xfId="0" applyNumberFormat="1" applyFont="1" applyFill="1" applyBorder="1" applyAlignment="1">
      <x:alignment horizontal="center" vertical="center" wrapText="1"/>
    </x:xf>
    <x:xf numFmtId="0" fontId="4" fillId="47" borderId="0" xfId="0" applyNumberFormat="1" applyFont="1" applyFill="1" applyBorder="1"/>
    <x:xf numFmtId="0" fontId="4" fillId="47" borderId="0" xfId="0" applyNumberFormat="1" applyFont="1" applyFill="1" applyBorder="1" applyAlignment="1">
      <x:alignment wrapText="1"/>
    </x:xf>
    <x:xf numFmtId="0" fontId="4" fillId="47" borderId="0" xfId="0" applyNumberFormat="1" applyFont="1" applyFill="1" applyBorder="1" applyAlignment="1">
      <x:alignment horizontal="center" wrapText="1"/>
    </x:xf>
    <x:xf numFmtId="0" fontId="0" fillId="48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2" fillId="0" borderId="0" xfId="0" applyNumberFormat="1" applyFont="1" applyFill="1" applyBorder="1"/>
    <x:xf numFmtId="201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0" fontId="2" fillId="49" borderId="0" xfId="0" applyNumberFormat="1" applyFont="1" applyFill="1" applyBorder="1" applyAlignment="1">
      <x:alignment vertical="center" wrapText="1"/>
    </x:xf>
    <x:xf numFmtId="0" fontId="6" fillId="49" borderId="0" xfId="0" applyNumberFormat="1" applyFont="1" applyFill="1" applyBorder="1" applyAlignment="1">
      <x:alignment vertical="center" wrapText="1"/>
    </x:xf>
    <x:xf numFmtId="0" fontId="6" fillId="49" borderId="0" xfId="0" applyNumberFormat="1" applyFont="1" applyFill="1" applyBorder="1" applyAlignment="1">
      <x:alignment horizontal="center" vertical="center" wrapText="1"/>
    </x:xf>
    <x:xf numFmtId="0" fontId="2" fillId="50" borderId="0" xfId="0" applyNumberFormat="1" applyFont="1" applyFill="1" applyBorder="1" applyAlignment="1">
      <x:alignment vertical="center" wrapText="1"/>
    </x:xf>
    <x:xf numFmtId="0" fontId="7" fillId="50" borderId="0" xfId="0" applyNumberFormat="1" applyFont="1" applyFill="1" applyBorder="1" applyAlignment="1">
      <x:alignment vertical="center" wrapText="1"/>
    </x:xf>
    <x:xf numFmtId="0" fontId="7" fillId="50" borderId="0" xfId="0" applyNumberFormat="1" applyFont="1" applyFill="1" applyBorder="1" applyAlignment="1">
      <x:alignment horizontal="left" vertical="center" wrapText="1"/>
    </x:xf>
    <x:xf numFmtId="0" fontId="2" fillId="51" borderId="0" xfId="0" applyNumberFormat="1" applyFont="1" applyFill="1" applyBorder="1" applyAlignment="1">
      <x:alignment vertical="center" wrapText="1"/>
    </x:xf>
    <x:xf numFmtId="0" fontId="8" fillId="51" borderId="0" xfId="0" applyNumberFormat="1" applyFont="1" applyFill="1" applyBorder="1" applyAlignment="1">
      <x:alignment vertical="center" wrapText="1"/>
    </x:xf>
    <x:xf numFmtId="0" fontId="2" fillId="52" borderId="0" xfId="0" applyNumberFormat="1" applyFont="1" applyFill="1" applyBorder="1" applyAlignment="1">
      <x:alignment vertical="center" wrapText="1"/>
    </x:xf>
    <x:xf numFmtId="0" fontId="1" fillId="52" borderId="0" xfId="0" applyNumberFormat="1" applyFont="1" applyFill="1" applyBorder="1" applyAlignment="1">
      <x:alignment vertical="center" wrapText="1"/>
    </x:xf>
    <x:xf numFmtId="0" fontId="1" fillId="52" borderId="0" xfId="0" applyNumberFormat="1" applyFont="1" applyFill="1" applyBorder="1" applyAlignment="1">
      <x:alignment horizontal="center" vertical="center" wrapText="1"/>
    </x:xf>
    <x:xf numFmtId="0" fontId="2" fillId="53" borderId="0" xfId="0" applyNumberFormat="1" applyFont="1" applyFill="1" applyBorder="1" applyAlignment="1">
      <x:alignment vertical="center" wrapText="1"/>
    </x:xf>
    <x:xf numFmtId="201" fontId="2" fillId="53" borderId="0" xfId="0" applyNumberFormat="1" applyFont="1" applyFill="1" applyBorder="1" applyAlignment="1">
      <x:alignment vertical="center" wrapText="1"/>
    </x:xf>
    <x:xf numFmtId="0" fontId="2" fillId="54" borderId="0" xfId="0" applyNumberFormat="1" applyFont="1" applyFill="1" applyBorder="1" applyAlignment="1">
      <x:alignment vertical="center" wrapText="1"/>
    </x:xf>
    <x:xf numFmtId="201" fontId="2" fillId="54" borderId="0" xfId="0" applyNumberFormat="1" applyFont="1" applyFill="1" applyBorder="1" applyAlignment="1">
      <x:alignment vertical="center" wrapText="1"/>
    </x:xf>
    <x:xf numFmtId="0" fontId="2" fillId="55" borderId="0" xfId="0" applyNumberFormat="1" applyFont="1" applyFill="1" applyBorder="1" applyAlignment="1">
      <x:alignment vertical="center" wrapText="1"/>
    </x:xf>
    <x:xf numFmtId="201" fontId="2" fillId="55" borderId="0" xfId="0" applyNumberFormat="1" applyFont="1" applyFill="1" applyBorder="1" applyAlignment="1">
      <x:alignment vertical="center" wrapText="1"/>
    </x:xf>
    <x:xf numFmtId="0" fontId="2" fillId="56" borderId="0" xfId="0" applyNumberFormat="1" applyFont="1" applyFill="1" applyBorder="1" applyAlignment="1">
      <x:alignment vertical="center" wrapText="1"/>
    </x:xf>
    <x:xf numFmtId="0" fontId="2" fillId="57" borderId="0" xfId="0" applyNumberFormat="1" applyFont="1" applyFill="1" applyBorder="1" applyAlignment="1">
      <x:alignment vertical="center" wrapText="1"/>
    </x:xf>
    <x:xf numFmtId="0" fontId="9" fillId="57" borderId="0" xfId="0" applyNumberFormat="1" applyFont="1" applyFill="1" applyBorder="1" applyAlignment="1">
      <x:alignment vertical="center" wrapText="1"/>
    </x:xf>
    <x:xf numFmtId="0" fontId="2" fillId="58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10" fillId="59" borderId="0" xfId="0" applyNumberFormat="1" applyFont="1" applyFill="1" applyBorder="1" applyAlignment="1">
      <x:alignment vertical="center" wrapText="1"/>
    </x:xf>
    <x:xf numFmtId="0" fontId="11" fillId="59" borderId="0" xfId="0" applyNumberFormat="1" applyFont="1" applyFill="1" applyBorder="1" applyAlignment="1">
      <x:alignment vertical="center" wrapText="1"/>
    </x:xf>
    <x:xf numFmtId="0" fontId="11" fillId="59" borderId="0" xfId="0" applyNumberFormat="1" applyFont="1" applyFill="1" applyBorder="1" applyAlignment="1">
      <x:alignment horizontal="center" vertical="center" wrapText="1"/>
    </x:xf>
    <x:xf numFmtId="0" fontId="10" fillId="60" borderId="0" xfId="0" applyNumberFormat="1" applyFont="1" applyFill="1" applyBorder="1" applyAlignment="1">
      <x:alignment vertical="center" wrapText="1"/>
    </x:xf>
    <x:xf numFmtId="0" fontId="12" fillId="60" borderId="0" xfId="0" applyNumberFormat="1" applyFont="1" applyFill="1" applyBorder="1" applyAlignment="1">
      <x:alignment vertical="center" wrapText="1"/>
    </x:xf>
    <x:xf numFmtId="0" fontId="10" fillId="61" borderId="0" xfId="0" applyNumberFormat="1" applyFont="1" applyFill="1" applyBorder="1" applyAlignment="1">
      <x:alignment vertical="center" wrapText="1"/>
    </x:xf>
    <x:xf numFmtId="0" fontId="13" fillId="61" borderId="0" xfId="0" applyNumberFormat="1" applyFont="1" applyFill="1" applyBorder="1" applyAlignment="1">
      <x:alignment vertical="center" wrapText="1"/>
    </x:xf>
    <x:xf numFmtId="0" fontId="13" fillId="61" borderId="0" xfId="0" applyNumberFormat="1" applyFont="1" applyFill="1" applyBorder="1" applyAlignment="1">
      <x:alignment horizontal="center" vertical="center" wrapText="1"/>
    </x:xf>
    <x:xf numFmtId="0" fontId="10" fillId="62" borderId="0" xfId="0" applyNumberFormat="1" applyFont="1" applyFill="1" applyBorder="1" applyAlignment="1">
      <x:alignment vertical="center" wrapText="1"/>
    </x:xf>
    <x:xf numFmtId="0" fontId="10" fillId="63" borderId="0" xfId="0" applyNumberFormat="1" applyFont="1" applyFill="1" applyBorder="1" applyAlignment="1">
      <x:alignment vertical="center" wrapText="1"/>
    </x:xf>
    <x:xf numFmtId="0" fontId="10" fillId="64" borderId="0" xfId="0" applyNumberFormat="1" applyFont="1" applyFill="1" applyBorder="1" applyAlignment="1">
      <x:alignment vertical="center" wrapText="1"/>
    </x:xf>
    <x:xf numFmtId="0" fontId="10" fillId="65" borderId="0" xfId="0" applyNumberFormat="1" applyFont="1" applyFill="1" applyBorder="1" applyAlignment="1">
      <x:alignment vertical="center" wrapText="1"/>
    </x:xf>
    <x:xf numFmtId="0" fontId="0" fillId="66" borderId="0" xfId="0" applyNumberFormat="1" applyFont="1" applyFill="1" applyBorder="1"/>
    <x:xf numFmtId="0" fontId="11" fillId="66" borderId="0" xfId="0" applyNumberFormat="1" applyFont="1" applyFill="1" applyBorder="1"/>
    <x:xf numFmtId="0" fontId="11" fillId="66" borderId="0" xfId="0" applyNumberFormat="1" applyFont="1" applyFill="1" applyBorder="1" applyAlignment="1">
      <x:alignment horizontal="center"/>
    </x:xf>
    <x:xf numFmtId="0" fontId="11" fillId="66" borderId="0" xfId="0" applyNumberFormat="1" applyFont="1" applyFill="1" applyBorder="1" applyAlignment="1">
      <x:alignment horizontal="center" vertical="center"/>
    </x:xf>
    <x:xf numFmtId="0" fontId="0" fillId="67" borderId="0" xfId="0" applyNumberFormat="1" applyFont="1" applyFill="1" applyBorder="1"/>
    <x:xf numFmtId="0" fontId="14" fillId="67" borderId="0" xfId="0" applyNumberFormat="1" applyFont="1" applyFill="1" applyBorder="1"/>
    <x:xf numFmtId="0" fontId="14" fillId="67" borderId="0" xfId="0" applyNumberFormat="1" applyFont="1" applyFill="1" applyBorder="1" applyAlignment="1">
      <x:alignment wrapText="1"/>
    </x:xf>
    <x:xf numFmtId="0" fontId="14" fillId="67" borderId="0" xfId="0" applyNumberFormat="1" applyFont="1" applyFill="1" applyBorder="1" applyAlignment="1">
      <x:alignment vertical="center" wrapText="1"/>
    </x:xf>
    <x:xf numFmtId="0" fontId="0" fillId="68" borderId="0" xfId="0" applyNumberFormat="1" applyFont="1" applyFill="1" applyBorder="1"/>
    <x:xf numFmtId="0" fontId="7" fillId="68" borderId="0" xfId="0" applyNumberFormat="1" applyFont="1" applyFill="1" applyBorder="1"/>
    <x:xf numFmtId="0" fontId="7" fillId="68" borderId="0" xfId="0" applyNumberFormat="1" applyFont="1" applyFill="1" applyBorder="1" applyAlignment="1">
      <x:alignment wrapText="1"/>
    </x:xf>
    <x:xf numFmtId="0" fontId="7" fillId="68" borderId="0" xfId="0" applyNumberFormat="1" applyFont="1" applyFill="1" applyBorder="1" applyAlignment="1">
      <x:alignment vertical="center" wrapText="1"/>
    </x:xf>
    <x:xf numFmtId="0" fontId="11" fillId="66" borderId="1" xfId="0" applyNumberFormat="1" applyFont="1" applyFill="1" applyBorder="1" applyAlignment="1">
      <x:alignment horizontal="center" vertical="center"/>
    </x:xf>
    <x:xf numFmtId="0" fontId="11" fillId="66" borderId="2" xfId="0" applyNumberFormat="1" applyFont="1" applyFill="1" applyBorder="1" applyAlignment="1">
      <x:alignment horizontal="center" vertical="center"/>
    </x:xf>
    <x:xf numFmtId="0" fontId="11" fillId="66" borderId="3" xfId="0" applyNumberFormat="1" applyFont="1" applyFill="1" applyBorder="1" applyAlignment="1">
      <x:alignment horizontal="center" vertical="center"/>
    </x:xf>
    <x:xf numFmtId="0" fontId="14" fillId="67" borderId="4" xfId="0" applyNumberFormat="1" applyFont="1" applyFill="1" applyBorder="1" applyAlignment="1">
      <x:alignment vertical="center" wrapText="1"/>
    </x:xf>
    <x:xf numFmtId="0" fontId="7" fillId="68" borderId="5" xfId="0" applyNumberFormat="1" applyFont="1" applyFill="1" applyBorder="1" applyAlignment="1">
      <x:alignment vertical="center" wrapText="1"/>
    </x:xf>
    <x:xf numFmtId="0" fontId="7" fillId="68" borderId="6" xfId="0" applyNumberFormat="1" applyFont="1" applyFill="1" applyBorder="1" applyAlignment="1">
      <x:alignment vertical="center" wrapText="1"/>
    </x:xf>
    <x:xf numFmtId="0" fontId="14" fillId="67" borderId="7" xfId="0" applyNumberFormat="1" applyFont="1" applyFill="1" applyBorder="1" applyAlignment="1">
      <x:alignment vertical="center" wrapText="1"/>
    </x:xf>
    <x:xf numFmtId="0" fontId="7" fillId="68" borderId="8" xfId="0" applyNumberFormat="1" applyFont="1" applyFill="1" applyBorder="1" applyAlignment="1">
      <x:alignment vertical="center" wrapText="1"/>
    </x:xf>
    <x:xf numFmtId="0" fontId="7" fillId="68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93e9ac60fa43f4" /><Relationship Type="http://schemas.openxmlformats.org/officeDocument/2006/relationships/theme" Target="/xl/theme/theme1.xml" Id="R7d9db92982054d0a" /><Relationship Type="http://schemas.openxmlformats.org/officeDocument/2006/relationships/sharedStrings" Target="/xl/sharedStrings.xml" Id="Rf6bab1499b8e40f3" /><Relationship Type="http://schemas.openxmlformats.org/officeDocument/2006/relationships/worksheet" Target="/xl/worksheets/sheet1.xml" Id="R8e7c7d46cbac4ada" /><Relationship Type="http://schemas.openxmlformats.org/officeDocument/2006/relationships/worksheet" Target="/xl/worksheets/sheet2.xml" Id="Rc00dd10cce05433e" /><Relationship Type="http://schemas.openxmlformats.org/officeDocument/2006/relationships/worksheet" Target="/xl/worksheets/sheet3.xml" Id="R2534a8f331a246c4" /><Relationship Type="http://schemas.openxmlformats.org/officeDocument/2006/relationships/worksheet" Target="/xl/worksheets/sheet4.xml" Id="R9f78c8ec35ef4701" /><Relationship Type="http://schemas.openxmlformats.org/officeDocument/2006/relationships/worksheet" Target="/xl/worksheets/sheet5.xml" Id="R60407cc5670c478d" /></Relationships>
</file>

<file path=xl/tables/table1.xml><?xml version="1.0" encoding="utf-8"?>
<x:table xmlns:x="http://schemas.openxmlformats.org/spreadsheetml/2006/main" id="1" name="tbl_open" displayName="tbl_open" ref="A1:J21" headerRowCount="1" totalsRowCount="0" totalsRowShown="0">
  <x:tableColumns count="10">
    <x:tableColumn id="1" name="sample_id"/>
    <x:tableColumn id="2" name="final_status"/>
    <x:tableColumn id="3" name="include_in_main_analysis"/>
    <x:tableColumn id="4" name="Q17_项目或任务_原始"/>
    <x:tableColumn id="5" name="Q17_主要卡点_原始"/>
    <x:tableColumn id="6" name="Q17_尝试处理方式_原始"/>
    <x:tableColumn id="7" name="Q17_希望提前知道的信息_原始"/>
    <x:tableColumn id="8" name="Q17_nonblank_count"/>
    <x:tableColumn id="9" name="Q17_any_text"/>
    <x:tableColumn id="10" name="数据核对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tbl_coding_records" displayName="tbl_coding_records" ref="A1:AB48" headerRowCount="1" totalsRowCount="0" totalsRowShown="0">
  <x:tableColumns count="28">
    <x:tableColumn id="1" name="coding_id"/>
    <x:tableColumn id="2" name="sample_id"/>
    <x:tableColumn id="3" name="来源字段"/>
    <x:tableColumn id="4" name="匿名原话或事实摘要"/>
    <x:tableColumn id="5" name="一级主题"/>
    <x:tableColumn id="6" name="二级代码"/>
    <x:tableColumn id="7" name="发生阶段"/>
    <x:tableColumn id="8" name="影响程度"/>
    <x:tableColumn id="9" name="可提前发现性"/>
    <x:tableColumn id="10" name="判断依据"/>
    <x:tableColumn id="11" name="对应假设或备注"/>
    <x:tableColumn id="12" name="不确定编码"/>
    <x:tableColumn id="13" name="不确定维度"/>
    <x:tableColumn id="14" name="记录类型"/>
    <x:tableColumn id="15" name="处理结果"/>
    <x:tableColumn id="16" name="希望确认阶段"/>
    <x:tableColumn id="17" name="可能的产品承载方式（推断）"/>
    <x:tableColumn id="18" name="是否计入实际信息需求"/>
    <x:tableColumn id="19" name="任务类型（初始开放编码）"/>
    <x:tableColumn id="20" name="任务目标"/>
    <x:tableColumn id="21" name="技术对象"/>
    <x:tableColumn id="22" name="是否涉及真实运行"/>
    <x:tableColumn id="23" name="上下文完整度"/>
    <x:tableColumn id="24" name="背景备注"/>
    <x:tableColumn id="25" name="是否计入痛点主题统计"/>
    <x:tableColumn id="26" name="任务场景"/>
    <x:tableColumn id="27" name="任务动作"/>
    <x:tableColumn id="28" name="任务动作是否可判断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0b9d5e04ef44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6725edda564ad9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  <x:col min="3" max="3" width="16" hidden="0" customWidth="1"/>
    <x:col min="4" max="4" width="16" hidden="0" customWidth="1"/>
  </x:cols>
  <x:sheetData>
    <x:row r="1">
      <x:c r="A1" s="37" t="str">
        <x:v>Q17字段覆盖</x:v>
      </x:c>
      <x:c r="B1" s="37" t="str">
        <x:v>有内容人数</x:v>
      </x:c>
      <x:c r="C1" s="37" t="str">
        <x:v>分母</x:v>
      </x:c>
      <x:c r="D1" s="37" t="str">
        <x:v>覆盖率</x:v>
      </x:c>
    </x:row>
    <x:row r="2">
      <x:c r="A2" s="38" t="str">
        <x:v>项目或任务</x:v>
      </x:c>
      <x:c r="B2" s="39" t="n">
        <x:f>COUNTIFS(tbl_open[Q17_项目或任务_原始],"&lt;&gt;",tbl_open[Q17_项目或任务_原始],"&lt;&gt;(空)")</x:f>
        <x:v>11</x:v>
      </x:c>
      <x:c r="C2" s="39" t="n">
        <x:f>COUNTIF(tbl_open[include_in_main_analysis],1)</x:f>
        <x:v>20</x:v>
      </x:c>
      <x:c r="D2" s="40" t="n">
        <x:f>IFERROR(B2/C2,0)</x:f>
        <x:v>0.55</x:v>
      </x:c>
    </x:row>
    <x:row r="3">
      <x:c r="A3" s="38" t="str">
        <x:v>主要卡点</x:v>
      </x:c>
      <x:c r="B3" s="39" t="n">
        <x:f>COUNTIFS(tbl_open[Q17_主要卡点_原始],"&lt;&gt;",tbl_open[Q17_主要卡点_原始],"&lt;&gt;(空)")</x:f>
        <x:v>10</x:v>
      </x:c>
      <x:c r="C3" s="39" t="n">
        <x:f>COUNTIF(tbl_open[include_in_main_analysis],1)</x:f>
        <x:v>20</x:v>
      </x:c>
      <x:c r="D3" s="40" t="n">
        <x:f>IFERROR(B3/C3,0)</x:f>
        <x:v>0.5</x:v>
      </x:c>
    </x:row>
    <x:row r="4">
      <x:c r="A4" s="38" t="str">
        <x:v>尝试过的处理方式</x:v>
      </x:c>
      <x:c r="B4" s="39" t="n">
        <x:f>COUNTIFS(tbl_open[Q17_尝试处理方式_原始],"&lt;&gt;",tbl_open[Q17_尝试处理方式_原始],"&lt;&gt;(空)")</x:f>
        <x:v>10</x:v>
      </x:c>
      <x:c r="C4" s="39" t="n">
        <x:f>COUNTIF(tbl_open[include_in_main_analysis],1)</x:f>
        <x:v>20</x:v>
      </x:c>
      <x:c r="D4" s="40" t="n">
        <x:f>IFERROR(B4/C4,0)</x:f>
        <x:v>0.5</x:v>
      </x:c>
    </x:row>
    <x:row r="5">
      <x:c r="A5" s="38" t="str">
        <x:v>希望提前知道的信息</x:v>
      </x:c>
      <x:c r="B5" s="39" t="n">
        <x:f>COUNTIFS(tbl_open[Q17_希望提前知道的信息_原始],"&lt;&gt;",tbl_open[Q17_希望提前知道的信息_原始],"&lt;&gt;(空)")</x:f>
        <x:v>9</x:v>
      </x:c>
      <x:c r="C5" s="39" t="n">
        <x:f>COUNTIF(tbl_open[include_in_main_analysis],1)</x:f>
        <x:v>20</x:v>
      </x:c>
      <x:c r="D5" s="40" t="n">
        <x:f>IFERROR(B5/C5,0)</x:f>
        <x:v>0.45</x:v>
      </x:c>
    </x:row>
    <x:row r="6">
      <x:c r="A6" s="41"/>
      <x:c r="B6" s="41"/>
      <x:c r="C6" s="41"/>
      <x:c r="D6" s="41"/>
    </x:row>
    <x:row r="7">
      <x:c r="A7" s="41"/>
      <x:c r="B7" s="41"/>
      <x:c r="C7" s="41"/>
      <x:c r="D7" s="41"/>
    </x:row>
    <x:row r="8">
      <x:c r="A8" s="42" t="str">
        <x:v>“(空)”数量检查</x:v>
      </x:c>
      <x:c r="B8" s="42" t="str">
        <x:v>结果</x:v>
      </x:c>
      <x:c r="C8" s="41"/>
      <x:c r="D8" s="41"/>
    </x:row>
    <x:row r="9">
      <x:c r="A9" s="43" t="str">
        <x:v>项目或任务中“(空)”的数量</x:v>
      </x:c>
      <x:c r="B9" s="44" t="n">
        <x:f>COUNTIF(tbl_open[Q17_项目或任务_原始],"(空)")</x:f>
        <x:v>9</x:v>
      </x:c>
      <x:c r="C9" s="41"/>
      <x:c r="D9" s="41"/>
    </x:row>
    <x:row r="10">
      <x:c r="A10" s="43" t="str">
        <x:v>主要卡点中“(空)”的数量</x:v>
      </x:c>
      <x:c r="B10" s="44" t="n">
        <x:f>COUNTIF(tbl_open[Q17_主要卡点_原始],"(空)")</x:f>
        <x:v>10</x:v>
      </x:c>
      <x:c r="C10" s="41"/>
      <x:c r="D10" s="41"/>
    </x:row>
    <x:row r="11">
      <x:c r="A11" s="43" t="str">
        <x:v>尝试过的处理方式中“(空)”的数量</x:v>
      </x:c>
      <x:c r="B11" s="44" t="n">
        <x:f>COUNTIF(tbl_open[Q17_尝试处理方式_原始],"(空)")</x:f>
        <x:v>10</x:v>
      </x:c>
      <x:c r="C11" s="41"/>
      <x:c r="D11" s="41"/>
    </x:row>
    <x:row r="12">
      <x:c r="A12" s="43" t="str">
        <x:v>希望提前知道的信息中“(空)”的数量</x:v>
      </x:c>
      <x:c r="B12" s="44" t="n">
        <x:f>COUNTIF(tbl_open[Q17_希望提前知道的信息_原始],"(空)")</x:f>
        <x:v>11</x:v>
      </x:c>
      <x:c r="C12" s="41"/>
      <x:c r="D12" s="41"/>
    </x:row>
    <x:row r="13">
      <x:c r="A13" s="41"/>
      <x:c r="B13" s="41"/>
      <x:c r="C13" s="41"/>
      <x:c r="D13" s="41"/>
    </x:row>
    <x:row r="14">
      <x:c r="A14" s="42" t="str">
        <x:v>计数规则检查</x:v>
      </x:c>
      <x:c r="B14" s="42" t="str">
        <x:v>结果</x:v>
      </x:c>
      <x:c r="C14" s="41"/>
      <x:c r="D14" s="41"/>
    </x:row>
    <x:row r="15">
      <x:c r="A15" s="45" t="str">
        <x:v>Q17_nonblank_count是否排除文本“(空)”</x:v>
      </x:c>
      <x:c r="B15" s="45" t="str">
        <x:v>是</x:v>
      </x:c>
      <x:c r="C15" s="41"/>
      <x:c r="D15" s="41"/>
    </x:row>
    <x:row r="18" ht="32" customHeight="1">
      <x:c r="A18" s="75" t="str">
        <x:v>主要卡点编码准备</x:v>
      </x:c>
      <x:c r="B18" s="75" t="str">
        <x:v>内容</x:v>
      </x:c>
    </x:row>
    <x:row r="19" ht="32" customHeight="1">
      <x:c r="A19" s="79" t="str">
        <x:v>筛选条件</x:v>
      </x:c>
      <x:c r="B19" s="83" t="str">
        <x:v>Q17_主要卡点_原始 &lt;&gt; (空)</x:v>
      </x:c>
    </x:row>
    <x:row r="20" ht="32" customHeight="1">
      <x:c r="A20" s="79" t="str">
        <x:v>非空样本数</x:v>
      </x:c>
      <x:c r="B20" s="83" t="n">
        <x:v>10</x:v>
      </x:c>
    </x:row>
    <x:row r="21" ht="32" customHeight="1">
      <x:c r="A21" s="79" t="str">
        <x:v>编码单位</x:v>
      </x:c>
      <x:c r="B21" s="83" t="str">
        <x:v>一条独立含义，不是一名用户</x:v>
      </x:c>
    </x:row>
    <x:row r="22" ht="32" customHeight="1">
      <x:c r="A22" s="79" t="str">
        <x:v>多重含义处理</x:v>
      </x:c>
      <x:c r="B22" s="83" t="str">
        <x:v>同一sample_id可拆分为多条编码记录</x:v>
      </x:c>
    </x:row>
    <x:row r="23" ht="32" customHeight="1">
      <x:c r="A23" s="79" t="str">
        <x:v>编码方法</x:v>
      </x:c>
      <x:c r="B23" s="83" t="str">
        <x:v>逐条人工结合上下文判断；不使用关键词公式自动编码</x:v>
      </x:c>
    </x:row>
    <x:row r="24" ht="32" customHeight="1">
      <x:c r="A24" s="79" t="str">
        <x:v>当前编码记录状态</x:v>
      </x:c>
      <x:c r="B24" s="83" t="str">
        <x:v>10条来源回答骨架；尚未进行主题赋码或含义拆分</x:v>
      </x:c>
    </x:row>
    <x:row r="26" ht="34" customHeight="1">
      <x:c r="A26" s="91" t="str">
        <x:v>原话与阶段口径</x:v>
      </x:c>
      <x:c r="B26" s="91" t="str">
        <x:v>内容</x:v>
      </x:c>
    </x:row>
    <x:row r="27" ht="34" customHeight="1">
      <x:c r="A27" s="94" t="str">
        <x:v>匿名处理</x:v>
      </x:c>
      <x:c r="B27" s="95" t="str">
        <x:v>编码记录中对姓名、组织名、私有路径、Token、服务器地址等脱敏；原始回答列不修改</x:v>
      </x:c>
    </x:row>
    <x:row r="28" ht="34" customHeight="1">
      <x:c r="A28" s="94" t="str">
        <x:v>事实摘要</x:v>
      </x:c>
      <x:c r="B28" s="95" t="str">
        <x:v>只保留支持代码判断的事实，不加入产品需求推断</x:v>
      </x:c>
    </x:row>
    <x:row r="29" ht="34" customHeight="1">
      <x:c r="A29" s="94" t="str">
        <x:v>发生阶段</x:v>
      </x:c>
      <x:c r="B29" s="95" t="str">
        <x:v>复现前判断／下载与环境／运行中／评测后／协作与复盘；无法判断时填“未知”</x:v>
      </x:c>
    </x:row>
    <x:row r="31" ht="38" customHeight="1">
      <x:c r="A31" s="100" t="str">
        <x:v>影响与可提前发现性口径</x:v>
      </x:c>
      <x:c r="B31" s="100" t="str">
        <x:v>内容</x:v>
      </x:c>
    </x:row>
    <x:row r="32" ht="38" customHeight="1">
      <x:c r="A32" s="103" t="str">
        <x:v>影响程度</x:v>
      </x:c>
      <x:c r="B32" s="105" t="str">
        <x:v>高：无法继续/放弃/长期停滞；中：明显返工/反复排错/较长延迟；低：不便但未明显阻碍；未知：未描述后果</x:v>
      </x:c>
    </x:row>
    <x:row r="33" ht="38" customHeight="1">
      <x:c r="A33" s="103" t="str">
        <x:v>可提前发现性</x:v>
      </x:c>
      <x:c r="B33" s="105" t="str">
        <x:v>是／部分／否／未知；每条必须写明判断依据</x:v>
      </x:c>
    </x:row>
    <x:row r="34" ht="38" customHeight="1">
      <x:c r="A34" s="103" t="str">
        <x:v>不确定与反例</x:v>
      </x:c>
      <x:c r="B34" s="105" t="str">
        <x:v>信息不足时不确定项=是；保留不支持H1的内容，不自动排除</x:v>
      </x:c>
    </x:row>
    <x:row r="36" ht="34" customHeight="1">
      <x:c r="A36" s="108" t="str">
        <x:v>主要卡点开放编码第一轮</x:v>
      </x:c>
      <x:c r="B36" s="108" t="str">
        <x:v>结果</x:v>
      </x:c>
    </x:row>
    <x:row r="37" ht="34" customHeight="1">
      <x:c r="A37" s="112" t="str">
        <x:v>状态</x:v>
      </x:c>
      <x:c r="B37" s="116" t="str">
        <x:v>完成</x:v>
      </x:c>
    </x:row>
    <x:row r="38" ht="34" customHeight="1">
      <x:c r="A38" s="112" t="str">
        <x:v>编码记录数</x:v>
      </x:c>
      <x:c r="B38" s="116" t="n">
        <x:v>11</x:v>
      </x:c>
    </x:row>
    <x:row r="39" ht="34" customHeight="1">
      <x:c r="A39" s="112" t="str">
        <x:v>已判定一级主题记录</x:v>
      </x:c>
      <x:c r="B39" s="116" t="n">
        <x:v>8</x:v>
      </x:c>
    </x:row>
    <x:row r="40" ht="34" customHeight="1">
      <x:c r="A40" s="112" t="str">
        <x:v>一级主题待判定记录</x:v>
      </x:c>
      <x:c r="B40" s="116" t="n">
        <x:v>3</x:v>
      </x:c>
    </x:row>
    <x:row r="41" ht="34" customHeight="1">
      <x:c r="A41" s="112" t="str">
        <x:v>不确定编码记录</x:v>
      </x:c>
      <x:c r="B41" s="116" t="n">
        <x:v>6</x:v>
      </x:c>
    </x:row>
    <x:row r="42" ht="34" customHeight="1">
      <x:c r="A42" s="112" t="str">
        <x:v>原始文本与编码结果</x:v>
      </x:c>
      <x:c r="B42" s="116" t="str">
        <x:v>分列保存</x:v>
      </x:c>
    </x:row>
    <x:row r="43" ht="34" customHeight="1">
      <x:c r="A43" s="112" t="str">
        <x:v>下一步</x:v>
      </x:c>
      <x:c r="B43" s="116" t="str">
        <x:v>结合项目任务、尝试方式和希望提前知道的信息字段复核上下文；待判定记录处理前不统计最终主题频数</x:v>
      </x:c>
    </x:row>
    <x:row r="45" ht="32" customHeight="1">
      <x:c r="A45" s="126" t="str">
        <x:v>Q17主要卡点编码</x:v>
      </x:c>
      <x:c r="B45" s="126" t="str">
        <x:v>结果</x:v>
      </x:c>
    </x:row>
    <x:row r="46" ht="32" customHeight="1">
      <x:c r="A46" s="130" t="str">
        <x:v>状态</x:v>
      </x:c>
      <x:c r="B46" s="134" t="str">
        <x:v>完成初版</x:v>
      </x:c>
    </x:row>
    <x:row r="47" ht="32" customHeight="1">
      <x:c r="A47" s="130" t="str">
        <x:v>主要卡点非空样本</x:v>
      </x:c>
      <x:c r="B47" s="134" t="n">
        <x:v>10</x:v>
      </x:c>
    </x:row>
    <x:row r="48" ht="32" customHeight="1">
      <x:c r="A48" s="130" t="str">
        <x:v>编码记录</x:v>
      </x:c>
      <x:c r="B48" s="134" t="n">
        <x:v>11</x:v>
      </x:c>
    </x:row>
    <x:row r="49" ht="32" customHeight="1">
      <x:c r="A49" s="130" t="str">
        <x:v>最终未判定一级主题</x:v>
      </x:c>
      <x:c r="B49" s="134" t="n">
        <x:v>2</x:v>
      </x:c>
    </x:row>
    <x:row r="50" ht="32" customHeight="1">
      <x:c r="A50" s="130" t="str">
        <x:v>最终可提前发现性未知</x:v>
      </x:c>
      <x:c r="B50" s="134" t="n">
        <x:v>2</x:v>
      </x:c>
    </x:row>
    <x:row r="51" ht="32" customHeight="1">
      <x:c r="A51" s="130" t="str">
        <x:v>保留不确定记录</x:v>
      </x:c>
      <x:c r="B51" s="134" t="n">
        <x:v>6</x:v>
      </x:c>
    </x:row>
    <x:row r="52" ht="32" customHeight="1">
      <x:c r="A52" s="130" t="str">
        <x:v>原始文本未修改</x:v>
      </x:c>
      <x:c r="B52" s="134" t="str">
        <x:v>是</x:v>
      </x:c>
    </x:row>
    <x:row r="57" ht="28" customHeight="1">
      <x:c r="A57" s="259" t="str">
        <x:v>开放文本代码本 V0.1 冻结口径</x:v>
      </x:c>
      <x:c r="B57" s="260"/>
      <x:c r="C57" s="260"/>
      <x:c r="D57" s="261"/>
    </x:row>
    <x:row r="58" ht="34" customHeight="1">
      <x:c r="A58" s="262" t="str">
        <x:v>开放文本代码本版本</x:v>
      </x:c>
      <x:c r="B58" s="263" t="str">
        <x:v>V0.1</x:v>
      </x:c>
      <x:c r="C58" s="263"/>
      <x:c r="D58" s="264"/>
    </x:row>
    <x:row r="59" ht="34" customHeight="1">
      <x:c r="A59" s="262" t="str">
        <x:v>冻结日期</x:v>
      </x:c>
      <x:c r="B59" s="263" t="str">
        <x:v>2026-08-07</x:v>
      </x:c>
      <x:c r="C59" s="263"/>
      <x:c r="D59" s="264"/>
    </x:row>
    <x:row r="60" ht="34" customHeight="1">
      <x:c r="A60" s="262" t="str">
        <x:v>编码范围</x:v>
      </x:c>
      <x:c r="B60" s="263" t="str">
        <x:v>20份有效核心样本中的Q17四个开放字段</x:v>
      </x:c>
      <x:c r="C60" s="263"/>
      <x:c r="D60" s="264"/>
    </x:row>
    <x:row r="61" ht="34" customHeight="1">
      <x:c r="A61" s="262" t="str">
        <x:v>开放回答覆盖</x:v>
      </x:c>
      <x:c r="B61" s="263" t="str">
        <x:v>至少填写一个字段11/20（55.0%）</x:v>
      </x:c>
      <x:c r="C61" s="263"/>
      <x:c r="D61" s="264"/>
    </x:row>
    <x:row r="62" ht="34" customHeight="1">
      <x:c r="A62" s="262" t="str">
        <x:v>分母规则—主要卡点</x:v>
      </x:c>
      <x:c r="B62" s="263" t="str">
        <x:v>主要卡点主题比例以主要卡点填写者N=10为分母</x:v>
      </x:c>
      <x:c r="C62" s="263"/>
      <x:c r="D62" s="264"/>
    </x:row>
    <x:row r="63" ht="34" customHeight="1">
      <x:c r="A63" s="262" t="str">
        <x:v>分母规则—处理动作</x:v>
      </x:c>
      <x:c r="B63" s="263" t="str">
        <x:v>处理动作比例以实际采取行动者N_action_user=9为分母</x:v>
      </x:c>
      <x:c r="C63" s="263"/>
      <x:c r="D63" s="264"/>
    </x:row>
    <x:row r="64" ht="34" customHeight="1">
      <x:c r="A64" s="262" t="str">
        <x:v>分母规则—信息需求</x:v>
      </x:c>
      <x:c r="B64" s="263" t="str">
        <x:v>提前信息需求比例以实际提出需求者N_need_user=8为分母</x:v>
      </x:c>
      <x:c r="C64" s="263"/>
      <x:c r="D64" s="264"/>
    </x:row>
    <x:row r="65" ht="34" customHeight="1">
      <x:c r="A65" s="262" t="str">
        <x:v>项目背景规则</x:v>
      </x:c>
      <x:c r="B65" s="263" t="str">
        <x:v>项目背景不进入痛点主题频数</x:v>
      </x:c>
      <x:c r="C65" s="263"/>
      <x:c r="D65" s="264"/>
    </x:row>
    <x:row r="66" ht="34" customHeight="1">
      <x:c r="A66" s="262" t="str">
        <x:v>特殊记录规则1</x:v>
      </x:c>
      <x:c r="B66" s="263" t="str">
        <x:v>“未采取处理方式”和“未提出需求”作为反例保留，不计入实际动作或实际需求总数</x:v>
      </x:c>
      <x:c r="C66" s="263"/>
      <x:c r="D66" s="264"/>
    </x:row>
    <x:row r="67" ht="34" customHeight="1">
      <x:c r="A67" s="262" t="str">
        <x:v>特殊记录规则2</x:v>
      </x:c>
      <x:c r="B67" s="263" t="str">
        <x:v>结果未知不等同于编码不确定</x:v>
      </x:c>
      <x:c r="C67" s="263"/>
      <x:c r="D67" s="264"/>
    </x:row>
    <x:row r="68" ht="34" customHeight="1">
      <x:c r="A68" s="262" t="str">
        <x:v>特殊记录规则3</x:v>
      </x:c>
      <x:c r="B68" s="263" t="str">
        <x:v>无法判断时保留待定、未知或不确定，不强行归类</x:v>
      </x:c>
      <x:c r="C68" s="263"/>
      <x:c r="D68" s="264"/>
    </x:row>
    <x:row r="69" ht="34" customHeight="1">
      <x:c r="A69" s="262" t="str">
        <x:v>证据规则1</x:v>
      </x:c>
      <x:c r="B69" s="263" t="str">
        <x:v>所有编码记录均可回溯至sample_id和匿名原话</x:v>
      </x:c>
      <x:c r="C69" s="263"/>
      <x:c r="D69" s="264"/>
    </x:row>
    <x:row r="70" ht="34" customHeight="1">
      <x:c r="A70" s="262" t="str">
        <x:v>证据规则2</x:v>
      </x:c>
      <x:c r="B70" s="263" t="str">
        <x:v>原始回答保持未修改</x:v>
      </x:c>
      <x:c r="C70" s="263"/>
      <x:c r="D70" s="264"/>
    </x:row>
    <x:row r="71" ht="34" customHeight="1">
      <x:c r="A71" s="262" t="str">
        <x:v>证据规则3</x:v>
      </x:c>
      <x:c r="B71" s="263" t="str">
        <x:v>产品机会推断与原始事实分列</x:v>
      </x:c>
      <x:c r="C71" s="263"/>
      <x:c r="D71" s="264"/>
    </x:row>
    <x:row r="72" ht="34" customHeight="1">
      <x:c r="A72" s="262" t="str">
        <x:v>冻结后操作规则</x:v>
      </x:c>
      <x:c r="B72" s="263" t="str">
        <x:v>V0.1不再直接覆盖修改；发现调整需要时保留V0.1并复制生成V0.2</x:v>
      </x:c>
      <x:c r="C72" s="263"/>
      <x:c r="D72" s="264"/>
    </x:row>
    <x:row r="73" ht="34" customHeight="1">
      <x:c r="A73" s="262" t="str">
        <x:v>版本修订要求</x:v>
      </x:c>
      <x:c r="B73" s="263" t="str">
        <x:v>记录代码新增、合并、拆分或改名原因，并注明是否重新编码历史记录</x:v>
      </x:c>
      <x:c r="C73" s="263"/>
      <x:c r="D73" s="264"/>
    </x:row>
    <x:row r="74" ht="34" customHeight="1">
      <x:c r="A74" s="265" t="str">
        <x:v>验收边界</x:v>
      </x:c>
      <x:c r="B74" s="266" t="str">
        <x:v>开放回答保留匿名原话、发生阶段、可提前发现性、反例、不确定项及事实—推断边界</x:v>
      </x:c>
      <x:c r="C74" s="266"/>
      <x:c r="D74" s="267"/>
    </x:row>
  </x:sheetData>
  <x:mergeCells>
    <x:mergeCell ref="A57:D5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  <x:col min="7" max="7" width="42" hidden="0" customWidth="1"/>
    <x:col min="8" max="8" width="20" hidden="0" customWidth="1"/>
    <x:col min="9" max="9" width="16" hidden="0" customWidth="1"/>
    <x:col min="10" max="10" width="28" hidden="0" customWidth="1"/>
  </x:cols>
  <x:sheetData>
    <x:row r="1" ht="42" customHeight="1">
      <x:c r="A1" s="5" t="str">
        <x:v>sample_id</x:v>
      </x:c>
      <x:c r="B1" s="5" t="str">
        <x:v>final_status</x:v>
      </x:c>
      <x:c r="C1" s="5" t="str">
        <x:v>include_in_main_analysis</x:v>
      </x:c>
      <x:c r="D1" s="5" t="str">
        <x:v>Q17_项目或任务_原始</x:v>
      </x:c>
      <x:c r="E1" s="5" t="str">
        <x:v>Q17_主要卡点_原始</x:v>
      </x:c>
      <x:c r="F1" s="5" t="str">
        <x:v>Q17_尝试处理方式_原始</x:v>
      </x:c>
      <x:c r="G1" s="5" t="str">
        <x:v>Q17_希望提前知道的信息_原始</x:v>
      </x:c>
      <x:c r="H1" s="5" t="str">
        <x:v>Q17_nonblank_count</x:v>
      </x:c>
      <x:c r="I1" s="5" t="str">
        <x:v>Q17_any_text</x:v>
      </x:c>
      <x:c r="J1" s="5" t="str">
        <x:v>数据核对备注</x:v>
      </x:c>
    </x:row>
    <x:row r="2" ht="52" customHeight="1">
      <x:c r="A2" s="8" t="str">
        <x:v>F-001</x:v>
      </x:c>
      <x:c r="B2" s="8" t="str">
        <x:v>有效核心样本</x:v>
      </x:c>
      <x:c r="C2" s="8" t="n">
        <x:v>1</x:v>
      </x:c>
      <x:c r="D2" s="12" t="str">
        <x:v>深度防伪检测</x:v>
      </x:c>
      <x:c r="E2" s="12" t="str">
        <x:v>数据集的获取上，官网审批交互不合理</x:v>
      </x:c>
      <x:c r="F2" s="12" t="str">
        <x:v>搜索引擎和大模型提问</x:v>
      </x:c>
      <x:c r="G2" s="12" t="str">
        <x:v>知道官网审批的细节流程</x:v>
      </x:c>
      <x:c r="H2" s="17" t="n">
        <x:f>SUMPRODUCT(--(D2:G2&lt;&gt;""),--(D2:G2&lt;&gt;"(空)"))</x:f>
        <x:v>4</x:v>
      </x:c>
      <x:c r="I2" s="17" t="n">
        <x:f>--(H2&gt;0)</x:f>
        <x:v>1</x:v>
      </x:c>
      <x:c r="J2" s="20" t="str"/>
    </x:row>
    <x:row r="3" ht="52" customHeight="1">
      <x:c r="A3" s="8" t="str">
        <x:v>F-002</x:v>
      </x:c>
      <x:c r="B3" s="8" t="str">
        <x:v>有效核心样本</x:v>
      </x:c>
      <x:c r="C3" s="8" t="n">
        <x:v>1</x:v>
      </x:c>
      <x:c r="D3" s="12" t="str">
        <x:v>论文项目</x:v>
      </x:c>
      <x:c r="E3" s="12" t="str">
        <x:v>方案流程设计</x:v>
      </x:c>
      <x:c r="F3" s="12" t="str">
        <x:v>利用大模型辅助复现</x:v>
      </x:c>
      <x:c r="G3" s="12" t="str">
        <x:v>源码</x:v>
      </x:c>
      <x:c r="H3" s="17" t="n">
        <x:f>SUMPRODUCT(--(D3:G3&lt;&gt;""),--(D3:G3&lt;&gt;"(空)"))</x:f>
        <x:v>4</x:v>
      </x:c>
      <x:c r="I3" s="17" t="n">
        <x:f>--(H3&gt;0)</x:f>
        <x:v>1</x:v>
      </x:c>
      <x:c r="J3" s="20" t="str"/>
    </x:row>
    <x:row r="4" ht="52" customHeight="1">
      <x:c r="A4" s="8" t="str">
        <x:v>F-003</x:v>
      </x:c>
      <x:c r="B4" s="8" t="str">
        <x:v>有效核心样本</x:v>
      </x:c>
      <x:c r="C4" s="8" t="n">
        <x:v>1</x:v>
      </x:c>
      <x:c r="D4" s="12" t="str">
        <x:v>视觉任务</x:v>
      </x:c>
      <x:c r="E4" s="12" t="str">
        <x:v>租的服务器显卡内存不够</x:v>
      </x:c>
      <x:c r="F4" s="12" t="str">
        <x:v>花钱升级</x:v>
      </x:c>
      <x:c r="G4" s="12" t="str">
        <x:v>运行代码需要的环境</x:v>
      </x:c>
      <x:c r="H4" s="17" t="n">
        <x:f>SUMPRODUCT(--(D4:G4&lt;&gt;""),--(D4:G4&lt;&gt;"(空)"))</x:f>
        <x:v>4</x:v>
      </x:c>
      <x:c r="I4" s="17" t="n">
        <x:f>--(H4&gt;0)</x:f>
        <x:v>1</x:v>
      </x:c>
      <x:c r="J4" s="20" t="str"/>
    </x:row>
    <x:row r="5" ht="52" customHeight="1">
      <x:c r="A5" s="8" t="str">
        <x:v>F-004</x:v>
      </x:c>
      <x:c r="B5" s="8" t="str">
        <x:v>有效核心样本</x:v>
      </x:c>
      <x:c r="C5" s="8" t="n">
        <x:v>1</x:v>
      </x:c>
      <x:c r="D5" s="12" t="str">
        <x:v>在医学数据集上使用AI训练</x:v>
      </x:c>
      <x:c r="E5" s="12" t="str">
        <x:v>代码报错</x:v>
      </x:c>
      <x:c r="F5" s="12" t="str">
        <x:v>ai改代码</x:v>
      </x:c>
      <x:c r="G5" s="12" t="str">
        <x:v>更好用的ai</x:v>
      </x:c>
      <x:c r="H5" s="17" t="n">
        <x:f>SUMPRODUCT(--(D5:G5&lt;&gt;""),--(D5:G5&lt;&gt;"(空)"))</x:f>
        <x:v>4</x:v>
      </x:c>
      <x:c r="I5" s="17" t="n">
        <x:f>--(H5&gt;0)</x:f>
        <x:v>1</x:v>
      </x:c>
      <x:c r="J5" s="20" t="str"/>
    </x:row>
    <x:row r="6" ht="52" customHeight="1">
      <x:c r="A6" s="8" t="str">
        <x:v>F-006</x:v>
      </x:c>
      <x:c r="B6" s="8" t="str">
        <x:v>有效核心样本</x:v>
      </x:c>
      <x:c r="C6" s="8" t="n">
        <x:v>1</x:v>
      </x:c>
      <x:c r="D6" s="12" t="str">
        <x:v>(空)</x:v>
      </x:c>
      <x:c r="E6" s="12" t="str">
        <x:v>(空)</x:v>
      </x:c>
      <x:c r="F6" s="12" t="str">
        <x:v>(空)</x:v>
      </x:c>
      <x:c r="G6" s="12" t="str">
        <x:v>(空)</x:v>
      </x:c>
      <x:c r="H6" s="17" t="n">
        <x:f>SUMPRODUCT(--(D6:G6&lt;&gt;""),--(D6:G6&lt;&gt;"(空)"))</x:f>
        <x:v>0</x:v>
      </x:c>
      <x:c r="I6" s="17" t="n">
        <x:f>--(H6&gt;0)</x:f>
        <x:v>0</x:v>
      </x:c>
      <x:c r="J6" s="20" t="str">
        <x:v>正式导出以“(空)”表示未填写；计数时按空白处理，原始文本保留</x:v>
      </x:c>
    </x:row>
    <x:row r="7" ht="52" customHeight="1">
      <x:c r="A7" s="8" t="str">
        <x:v>F-007</x:v>
      </x:c>
      <x:c r="B7" s="8" t="str">
        <x:v>有效核心样本</x:v>
      </x:c>
      <x:c r="C7" s="8" t="n">
        <x:v>1</x:v>
      </x:c>
      <x:c r="D7" s="12" t="str">
        <x:v>(空)</x:v>
      </x:c>
      <x:c r="E7" s="12" t="str">
        <x:v>(空)</x:v>
      </x:c>
      <x:c r="F7" s="12" t="str">
        <x:v>(空)</x:v>
      </x:c>
      <x:c r="G7" s="12" t="str">
        <x:v>(空)</x:v>
      </x:c>
      <x:c r="H7" s="17" t="n">
        <x:f>SUMPRODUCT(--(D7:G7&lt;&gt;""),--(D7:G7&lt;&gt;"(空)"))</x:f>
        <x:v>0</x:v>
      </x:c>
      <x:c r="I7" s="17" t="n">
        <x:f>--(H7&gt;0)</x:f>
        <x:v>0</x:v>
      </x:c>
      <x:c r="J7" s="20" t="str">
        <x:v>正式导出以“(空)”表示未填写；计数时按空白处理，原始文本保留</x:v>
      </x:c>
    </x:row>
    <x:row r="8" ht="52" customHeight="1">
      <x:c r="A8" s="8" t="str">
        <x:v>F-008</x:v>
      </x:c>
      <x:c r="B8" s="8" t="str">
        <x:v>有效核心样本</x:v>
      </x:c>
      <x:c r="C8" s="8" t="n">
        <x:v>1</x:v>
      </x:c>
      <x:c r="D8" s="12" t="str">
        <x:v>(空)</x:v>
      </x:c>
      <x:c r="E8" s="12" t="str">
        <x:v>(空)</x:v>
      </x:c>
      <x:c r="F8" s="12" t="str">
        <x:v>(空)</x:v>
      </x:c>
      <x:c r="G8" s="12" t="str">
        <x:v>(空)</x:v>
      </x:c>
      <x:c r="H8" s="17" t="n">
        <x:f>SUMPRODUCT(--(D8:G8&lt;&gt;""),--(D8:G8&lt;&gt;"(空)"))</x:f>
        <x:v>0</x:v>
      </x:c>
      <x:c r="I8" s="17" t="n">
        <x:f>--(H8&gt;0)</x:f>
        <x:v>0</x:v>
      </x:c>
      <x:c r="J8" s="20" t="str">
        <x:v>正式导出以“(空)”表示未填写；计数时按空白处理，原始文本保留</x:v>
      </x:c>
    </x:row>
    <x:row r="9" ht="52" customHeight="1">
      <x:c r="A9" s="8" t="str">
        <x:v>F-009</x:v>
      </x:c>
      <x:c r="B9" s="8" t="str">
        <x:v>有效核心样本</x:v>
      </x:c>
      <x:c r="C9" s="8" t="n">
        <x:v>1</x:v>
      </x:c>
      <x:c r="D9" s="12" t="str">
        <x:v>跟踪</x:v>
      </x:c>
      <x:c r="E9" s="12" t="str">
        <x:v>(空)</x:v>
      </x:c>
      <x:c r="F9" s="12" t="str">
        <x:v>(空)</x:v>
      </x:c>
      <x:c r="G9" s="12" t="str">
        <x:v>(空)</x:v>
      </x:c>
      <x:c r="H9" s="17" t="n">
        <x:f>SUMPRODUCT(--(D9:G9&lt;&gt;""),--(D9:G9&lt;&gt;"(空)"))</x:f>
        <x:v>1</x:v>
      </x:c>
      <x:c r="I9" s="17" t="n">
        <x:f>--(H9&gt;0)</x:f>
        <x:v>1</x:v>
      </x:c>
      <x:c r="J9" s="20" t="str">
        <x:v>正式导出以“(空)”表示未填写；计数时按空白处理，原始文本保留</x:v>
      </x:c>
    </x:row>
    <x:row r="10" ht="52" customHeight="1">
      <x:c r="A10" s="8" t="str">
        <x:v>F-010</x:v>
      </x:c>
      <x:c r="B10" s="8" t="str">
        <x:v>有效核心样本</x:v>
      </x:c>
      <x:c r="C10" s="8" t="n">
        <x:v>1</x:v>
      </x:c>
      <x:c r="D10" s="12" t="str">
        <x:v>(空)</x:v>
      </x:c>
      <x:c r="E10" s="12" t="str">
        <x:v>(空)</x:v>
      </x:c>
      <x:c r="F10" s="12" t="str">
        <x:v>(空)</x:v>
      </x:c>
      <x:c r="G10" s="12" t="str">
        <x:v>(空)</x:v>
      </x:c>
      <x:c r="H10" s="17" t="n">
        <x:f>SUMPRODUCT(--(D10:G10&lt;&gt;""),--(D10:G10&lt;&gt;"(空)"))</x:f>
        <x:v>0</x:v>
      </x:c>
      <x:c r="I10" s="17" t="n">
        <x:f>--(H10&gt;0)</x:f>
        <x:v>0</x:v>
      </x:c>
      <x:c r="J10" s="20" t="str">
        <x:v>正式导出以“(空)”表示未填写；计数时按空白处理，原始文本保留</x:v>
      </x:c>
    </x:row>
    <x:row r="11" ht="52" customHeight="1">
      <x:c r="A11" s="8" t="str">
        <x:v>F-011</x:v>
      </x:c>
      <x:c r="B11" s="8" t="str">
        <x:v>有效核心样本</x:v>
      </x:c>
      <x:c r="C11" s="8" t="n">
        <x:v>1</x:v>
      </x:c>
      <x:c r="D11" s="12" t="str">
        <x:v>计算机视觉相关实验</x:v>
      </x:c>
      <x:c r="E11" s="12" t="str">
        <x:v>数据集获取</x:v>
      </x:c>
      <x:c r="F11" s="12" t="str">
        <x:v>公开数据集查询及询问导师</x:v>
      </x:c>
      <x:c r="G11" s="12" t="str">
        <x:v>数据集是否可用，是否规范，复现结果是否能与论文展示结果接近</x:v>
      </x:c>
      <x:c r="H11" s="17" t="n">
        <x:f>SUMPRODUCT(--(D11:G11&lt;&gt;""),--(D11:G11&lt;&gt;"(空)"))</x:f>
        <x:v>4</x:v>
      </x:c>
      <x:c r="I11" s="17" t="n">
        <x:f>--(H11&gt;0)</x:f>
        <x:v>1</x:v>
      </x:c>
      <x:c r="J11" s="20" t="str"/>
    </x:row>
    <x:row r="12" ht="52" customHeight="1">
      <x:c r="A12" s="8" t="str">
        <x:v>F-012</x:v>
      </x:c>
      <x:c r="B12" s="8" t="str">
        <x:v>有效核心样本</x:v>
      </x:c>
      <x:c r="C12" s="8" t="n">
        <x:v>1</x:v>
      </x:c>
      <x:c r="D12" s="12" t="str">
        <x:v>实验对比</x:v>
      </x:c>
      <x:c r="E12" s="12" t="str">
        <x:v>论文框架描述，摸棱两可</x:v>
      </x:c>
      <x:c r="F12" s="12" t="str">
        <x:v>所有可能的技术路线都测试</x:v>
      </x:c>
      <x:c r="G12" s="12" t="str">
        <x:v>代码实现思路</x:v>
      </x:c>
      <x:c r="H12" s="17" t="n">
        <x:f>SUMPRODUCT(--(D12:G12&lt;&gt;""),--(D12:G12&lt;&gt;"(空)"))</x:f>
        <x:v>4</x:v>
      </x:c>
      <x:c r="I12" s="17" t="n">
        <x:f>--(H12&gt;0)</x:f>
        <x:v>1</x:v>
      </x:c>
      <x:c r="J12" s="20" t="str"/>
    </x:row>
    <x:row r="13" ht="52" customHeight="1">
      <x:c r="A13" s="8" t="str">
        <x:v>F-013</x:v>
      </x:c>
      <x:c r="B13" s="8" t="str">
        <x:v>有效核心样本</x:v>
      </x:c>
      <x:c r="C13" s="8" t="n">
        <x:v>1</x:v>
      </x:c>
      <x:c r="D13" s="12" t="str">
        <x:v>(空)</x:v>
      </x:c>
      <x:c r="E13" s="12" t="str">
        <x:v>(空)</x:v>
      </x:c>
      <x:c r="F13" s="12" t="str">
        <x:v>(空)</x:v>
      </x:c>
      <x:c r="G13" s="12" t="str">
        <x:v>(空)</x:v>
      </x:c>
      <x:c r="H13" s="17" t="n">
        <x:f>SUMPRODUCT(--(D13:G13&lt;&gt;""),--(D13:G13&lt;&gt;"(空)"))</x:f>
        <x:v>0</x:v>
      </x:c>
      <x:c r="I13" s="17" t="n">
        <x:f>--(H13&gt;0)</x:f>
        <x:v>0</x:v>
      </x:c>
      <x:c r="J13" s="20" t="str">
        <x:v>正式导出以“(空)”表示未填写；计数时按空白处理，原始文本保留</x:v>
      </x:c>
    </x:row>
    <x:row r="14" ht="52" customHeight="1">
      <x:c r="A14" s="8" t="str">
        <x:v>F-014</x:v>
      </x:c>
      <x:c r="B14" s="8" t="str">
        <x:v>有效核心样本</x:v>
      </x:c>
      <x:c r="C14" s="8" t="n">
        <x:v>1</x:v>
      </x:c>
      <x:c r="D14" s="12" t="str">
        <x:v>毕设 baseline</x:v>
      </x:c>
      <x:c r="E14" s="12" t="str">
        <x:v>权重未公开，且公开数据集上训练时间长</x:v>
      </x:c>
      <x:c r="F14" s="12" t="str">
        <x:v>联系作者</x:v>
      </x:c>
      <x:c r="G14" s="12" t="str">
        <x:v>(空)</x:v>
      </x:c>
      <x:c r="H14" s="17" t="n">
        <x:f>SUMPRODUCT(--(D14:G14&lt;&gt;""),--(D14:G14&lt;&gt;"(空)"))</x:f>
        <x:v>3</x:v>
      </x:c>
      <x:c r="I14" s="17" t="n">
        <x:f>--(H14&gt;0)</x:f>
        <x:v>1</x:v>
      </x:c>
      <x:c r="J14" s="20" t="str">
        <x:v>正式导出以“(空)”表示未填写；计数时按空白处理，原始文本保留</x:v>
      </x:c>
    </x:row>
    <x:row r="15" ht="52" customHeight="1">
      <x:c r="A15" s="8" t="str">
        <x:v>F-015</x:v>
      </x:c>
      <x:c r="B15" s="8" t="str">
        <x:v>有效核心样本</x:v>
      </x:c>
      <x:c r="C15" s="8" t="n">
        <x:v>1</x:v>
      </x:c>
      <x:c r="D15" s="12" t="str">
        <x:v>多模态深度伪造检测</x:v>
      </x:c>
      <x:c r="E15" s="12" t="str">
        <x:v>数据集下载和预处理</x:v>
      </x:c>
      <x:c r="F15" s="12" t="str">
        <x:v>转移到内存更大的服务器进行下载和预处理</x:v>
      </x:c>
      <x:c r="G15" s="12" t="str">
        <x:v>数据集有多大，预处理和实验运行时间大概要多久</x:v>
      </x:c>
      <x:c r="H15" s="17" t="n">
        <x:f>SUMPRODUCT(--(D15:G15&lt;&gt;""),--(D15:G15&lt;&gt;"(空)"))</x:f>
        <x:v>4</x:v>
      </x:c>
      <x:c r="I15" s="17" t="n">
        <x:f>--(H15&gt;0)</x:f>
        <x:v>1</x:v>
      </x:c>
      <x:c r="J15" s="20" t="str"/>
    </x:row>
    <x:row r="16" ht="52" customHeight="1">
      <x:c r="A16" s="8" t="str">
        <x:v>F-018</x:v>
      </x:c>
      <x:c r="B16" s="8" t="str">
        <x:v>有效核心样本</x:v>
      </x:c>
      <x:c r="C16" s="8" t="n">
        <x:v>1</x:v>
      </x:c>
      <x:c r="D16" s="12" t="str">
        <x:v>(空)</x:v>
      </x:c>
      <x:c r="E16" s="12" t="str">
        <x:v>(空)</x:v>
      </x:c>
      <x:c r="F16" s="12" t="str">
        <x:v>(空)</x:v>
      </x:c>
      <x:c r="G16" s="12" t="str">
        <x:v>(空)</x:v>
      </x:c>
      <x:c r="H16" s="17" t="n">
        <x:f>SUMPRODUCT(--(D16:G16&lt;&gt;""),--(D16:G16&lt;&gt;"(空)"))</x:f>
        <x:v>0</x:v>
      </x:c>
      <x:c r="I16" s="17" t="n">
        <x:f>--(H16&gt;0)</x:f>
        <x:v>0</x:v>
      </x:c>
      <x:c r="J16" s="20" t="str">
        <x:v>正式导出以“(空)”表示未填写；计数时按空白处理，原始文本保留</x:v>
      </x:c>
    </x:row>
    <x:row r="17" ht="52" customHeight="1">
      <x:c r="A17" s="8" t="str">
        <x:v>F-019</x:v>
      </x:c>
      <x:c r="B17" s="8" t="str">
        <x:v>有效核心样本</x:v>
      </x:c>
      <x:c r="C17" s="8" t="n">
        <x:v>1</x:v>
      </x:c>
      <x:c r="D17" s="12" t="str">
        <x:v>(空)</x:v>
      </x:c>
      <x:c r="E17" s="12" t="str">
        <x:v>(空)</x:v>
      </x:c>
      <x:c r="F17" s="12" t="str">
        <x:v>(空)</x:v>
      </x:c>
      <x:c r="G17" s="12" t="str">
        <x:v>(空)</x:v>
      </x:c>
      <x:c r="H17" s="17" t="n">
        <x:f>SUMPRODUCT(--(D17:G17&lt;&gt;""),--(D17:G17&lt;&gt;"(空)"))</x:f>
        <x:v>0</x:v>
      </x:c>
      <x:c r="I17" s="17" t="n">
        <x:f>--(H17&gt;0)</x:f>
        <x:v>0</x:v>
      </x:c>
      <x:c r="J17" s="20" t="str">
        <x:v>正式导出以“(空)”表示未填写；计数时按空白处理，原始文本保留</x:v>
      </x:c>
    </x:row>
    <x:row r="18" ht="52" customHeight="1">
      <x:c r="A18" s="8" t="str">
        <x:v>F-020</x:v>
      </x:c>
      <x:c r="B18" s="8" t="str">
        <x:v>有效核心样本</x:v>
      </x:c>
      <x:c r="C18" s="8" t="n">
        <x:v>1</x:v>
      </x:c>
      <x:c r="D18" s="12" t="str">
        <x:v>视觉项目</x:v>
      </x:c>
      <x:c r="E18" s="12" t="str">
        <x:v>环境配置</x:v>
      </x:c>
      <x:c r="F18" s="12" t="str">
        <x:v>ai 协助</x:v>
      </x:c>
      <x:c r="G18" s="12" t="str">
        <x:v>环境配置信息</x:v>
      </x:c>
      <x:c r="H18" s="17" t="n">
        <x:f>SUMPRODUCT(--(D18:G18&lt;&gt;""),--(D18:G18&lt;&gt;"(空)"))</x:f>
        <x:v>4</x:v>
      </x:c>
      <x:c r="I18" s="17" t="n">
        <x:f>--(H18&gt;0)</x:f>
        <x:v>1</x:v>
      </x:c>
      <x:c r="J18" s="20" t="str"/>
    </x:row>
    <x:row r="19" ht="52" customHeight="1">
      <x:c r="A19" s="8" t="str">
        <x:v>F-021</x:v>
      </x:c>
      <x:c r="B19" s="8" t="str">
        <x:v>有效核心样本</x:v>
      </x:c>
      <x:c r="C19" s="8" t="n">
        <x:v>1</x:v>
      </x:c>
      <x:c r="D19" s="12" t="str">
        <x:v>无</x:v>
      </x:c>
      <x:c r="E19" s="12" t="str">
        <x:v>无</x:v>
      </x:c>
      <x:c r="F19" s="12" t="str">
        <x:v>无</x:v>
      </x:c>
      <x:c r="G19" s="12" t="str">
        <x:v>无</x:v>
      </x:c>
      <x:c r="H19" s="17" t="n">
        <x:f>SUMPRODUCT(--(D19:G19&lt;&gt;""),--(D19:G19&lt;&gt;"(空)"))</x:f>
        <x:v>4</x:v>
      </x:c>
      <x:c r="I19" s="17" t="n">
        <x:f>--(H19&gt;0)</x:f>
        <x:v>1</x:v>
      </x:c>
      <x:c r="J19" s="20" t="str"/>
    </x:row>
    <x:row r="20" ht="52" customHeight="1">
      <x:c r="A20" s="8" t="str">
        <x:v>F-022</x:v>
      </x:c>
      <x:c r="B20" s="8" t="str">
        <x:v>有效核心样本</x:v>
      </x:c>
      <x:c r="C20" s="8" t="n">
        <x:v>1</x:v>
      </x:c>
      <x:c r="D20" s="12" t="str">
        <x:v>(空)</x:v>
      </x:c>
      <x:c r="E20" s="12" t="str">
        <x:v>(空)</x:v>
      </x:c>
      <x:c r="F20" s="12" t="str">
        <x:v>(空)</x:v>
      </x:c>
      <x:c r="G20" s="12" t="str">
        <x:v>(空)</x:v>
      </x:c>
      <x:c r="H20" s="17" t="n">
        <x:f>SUMPRODUCT(--(D20:G20&lt;&gt;""),--(D20:G20&lt;&gt;"(空)"))</x:f>
        <x:v>0</x:v>
      </x:c>
      <x:c r="I20" s="17" t="n">
        <x:f>--(H20&gt;0)</x:f>
        <x:v>0</x:v>
      </x:c>
      <x:c r="J20" s="20" t="str">
        <x:v>正式导出以“(空)”表示未填写；计数时按空白处理，原始文本保留</x:v>
      </x:c>
    </x:row>
    <x:row r="21" ht="52" customHeight="1">
      <x:c r="A21" s="8" t="str">
        <x:v>F-023</x:v>
      </x:c>
      <x:c r="B21" s="8" t="str">
        <x:v>有效核心样本</x:v>
      </x:c>
      <x:c r="C21" s="8" t="n">
        <x:v>1</x:v>
      </x:c>
      <x:c r="D21" s="12" t="str">
        <x:v>(空)</x:v>
      </x:c>
      <x:c r="E21" s="12" t="str">
        <x:v>(空)</x:v>
      </x:c>
      <x:c r="F21" s="12" t="str">
        <x:v>(空)</x:v>
      </x:c>
      <x:c r="G21" s="12" t="str">
        <x:v>(空)</x:v>
      </x:c>
      <x:c r="H21" s="17" t="n">
        <x:f>SUMPRODUCT(--(D21:G21&lt;&gt;""),--(D21:G21&lt;&gt;"(空)"))</x:f>
        <x:v>0</x:v>
      </x:c>
      <x:c r="I21" s="17" t="n">
        <x:f>--(H21&gt;0)</x:f>
        <x:v>0</x:v>
      </x:c>
      <x:c r="J21" s="20" t="str">
        <x:v>正式导出以“(空)”表示未填写；计数时按空白处理，原始文本保留</x:v>
      </x:c>
    </x:row>
  </x:sheetData>
  <x:pageMargins left="0.7" right="0.7" top="0.75" bottom="0.75" header="0.3" footer="0.3"/>
  <x:tableParts count="1">
    <x:tablePart xmlns:r="http://schemas.openxmlformats.org/officeDocument/2006/relationships" r:id="R840b9d5e04ef442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42" hidden="0" customWidth="1"/>
    <x:col min="5" max="5" width="24" hidden="0" customWidth="1"/>
    <x:col min="6" max="6" width="28" hidden="0" customWidth="1"/>
    <x:col min="7" max="7" width="20" hidden="0" customWidth="1"/>
    <x:col min="8" max="8" width="16" hidden="0" customWidth="1"/>
    <x:col min="9" max="9" width="20" hidden="0" customWidth="1"/>
    <x:col min="10" max="10" width="42" hidden="0" customWidth="1"/>
    <x:col min="11" max="11" width="32" hidden="0" customWidth="1"/>
    <x:col min="12" max="12" width="28" hidden="0" customWidth="1"/>
    <x:col min="13" max="13" width="34" hidden="0" customWidth="1"/>
    <x:col min="14" max="14" width="18" hidden="0" customWidth="1"/>
    <x:col min="15" max="15" width="18" hidden="0" customWidth="1"/>
    <x:col min="16" max="16" width="18" hidden="0" customWidth="1"/>
    <x:col min="17" max="17" width="42" hidden="0" customWidth="1"/>
    <x:col min="18" max="18" width="22" hidden="0" customWidth="1"/>
    <x:col min="19" max="19" width="24" hidden="0" customWidth="1"/>
    <x:col min="20" max="20" width="32" hidden="0" customWidth="1"/>
    <x:col min="21" max="21" width="24" hidden="0" customWidth="1"/>
    <x:col min="22" max="22" width="18" hidden="0" customWidth="1"/>
    <x:col min="23" max="23" width="18" hidden="0" customWidth="1"/>
    <x:col min="24" max="24" width="46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</x:cols>
  <x:sheetData>
    <x:row r="1" ht="42" customHeight="1">
      <x:c r="A1" s="50" t="str">
        <x:v>coding_id</x:v>
      </x:c>
      <x:c r="B1" s="50" t="str">
        <x:v>sample_id</x:v>
      </x:c>
      <x:c r="C1" s="50" t="str">
        <x:v>来源字段</x:v>
      </x:c>
      <x:c r="D1" s="50" t="str">
        <x:v>匿名原话或事实摘要</x:v>
      </x:c>
      <x:c r="E1" s="50" t="str">
        <x:v>一级主题</x:v>
      </x:c>
      <x:c r="F1" s="50" t="str">
        <x:v>二级代码</x:v>
      </x:c>
      <x:c r="G1" s="50" t="str">
        <x:v>发生阶段</x:v>
      </x:c>
      <x:c r="H1" s="50" t="str">
        <x:v>影响程度</x:v>
      </x:c>
      <x:c r="I1" s="50" t="str">
        <x:v>可提前发现性</x:v>
      </x:c>
      <x:c r="J1" s="50" t="str">
        <x:v>判断依据</x:v>
      </x:c>
      <x:c r="K1" s="50" t="str">
        <x:v>对应假设或备注</x:v>
      </x:c>
      <x:c r="L1" s="50" t="str">
        <x:v>不确定编码</x:v>
      </x:c>
      <x:c r="M1" s="121" t="str">
        <x:v>不确定维度</x:v>
      </x:c>
      <x:c r="N1" s="139" t="str">
        <x:v>记录类型</x:v>
      </x:c>
      <x:c r="O1" s="139" t="str">
        <x:v>处理结果</x:v>
      </x:c>
      <x:c r="P1" s="159" t="str">
        <x:v>希望确认阶段</x:v>
      </x:c>
      <x:c r="Q1" s="159" t="str">
        <x:v>可能的产品承载方式（推断）</x:v>
      </x:c>
      <x:c r="R1" s="172" t="str">
        <x:v>是否计入实际信息需求</x:v>
      </x:c>
      <x:c r="S1" s="181" t="str">
        <x:v>任务类型（初始开放编码）</x:v>
      </x:c>
      <x:c r="T1" s="181" t="str">
        <x:v>任务目标</x:v>
      </x:c>
      <x:c r="U1" s="181" t="str">
        <x:v>技术对象</x:v>
      </x:c>
      <x:c r="V1" s="181" t="str">
        <x:v>是否涉及真实运行</x:v>
      </x:c>
      <x:c r="W1" s="181" t="str">
        <x:v>上下文完整度</x:v>
      </x:c>
      <x:c r="X1" s="181" t="str">
        <x:v>背景备注</x:v>
      </x:c>
      <x:c r="Y1" s="181" t="str">
        <x:v>是否计入痛点主题统计</x:v>
      </x:c>
      <x:c r="Z1" s="194" t="str">
        <x:v>任务场景</x:v>
      </x:c>
      <x:c r="AA1" s="194" t="str">
        <x:v>任务动作</x:v>
      </x:c>
      <x:c r="AB1" s="194" t="str">
        <x:v>任务动作是否可判断</x:v>
      </x:c>
    </x:row>
    <x:row r="2" ht="46" customHeight="1">
      <x:c r="A2" t="str">
        <x:v>OT-001</x:v>
      </x:c>
      <x:c r="B2" t="str">
        <x:v>F-001</x:v>
      </x:c>
      <x:c r="C2" t="str">
        <x:v>Q17_主要卡点</x:v>
      </x:c>
      <x:c r="D2" t="str">
        <x:v>数据集的获取上，官网审批交互不合理</x:v>
      </x:c>
      <x:c r="E2" t="str">
        <x:v>数据与路径</x:v>
      </x:c>
      <x:c r="F2" t="str">
        <x:v>数据访问审批流程</x:v>
      </x:c>
      <x:c r="G2" t="str">
        <x:v>下载与环境</x:v>
      </x:c>
      <x:c r="H2" t="str">
        <x:v>未知</x:v>
      </x:c>
      <x:c r="I2" t="str">
        <x:v>是</x:v>
      </x:c>
      <x:c r="J2" t="str">
        <x:v>结合“尝试处理方式”中搜索引擎和大模型提问，以及“希望提前知道的信息”中官网审批细节，确认为数据访问审批问题，可在运行前核验；四个字段均未描述实际后果</x:v>
      </x:c>
      <x:c r="K2" t="str">
        <x:v>主题、阶段和可提前发现性得到上下文支持；影响程度仍未知</x:v>
      </x:c>
      <x:c r="L2" t="str">
        <x:v>是</x:v>
      </x:c>
      <x:c r="M2" t="str">
        <x:v>影响程度</x:v>
      </x:c>
      <x:c r="N2" t="str">
        <x:v>主要卡点</x:v>
      </x:c>
      <x:c r="O2"/>
      <x:c r="P2"/>
      <x:c r="Q2"/>
      <x:c r="R2"/>
      <x:c r="S2"/>
      <x:c r="T2"/>
      <x:c r="U2"/>
      <x:c r="V2"/>
      <x:c r="W2"/>
      <x:c r="X2"/>
      <x:c r="Y2"/>
      <x:c r="Z2" s="199"/>
      <x:c r="AA2" s="199"/>
      <x:c r="AB2" s="199"/>
    </x:row>
    <x:row r="3" ht="46" customHeight="1">
      <x:c r="A3" t="str">
        <x:v>OT-002</x:v>
      </x:c>
      <x:c r="B3" t="str">
        <x:v>F-002</x:v>
      </x:c>
      <x:c r="C3" t="str">
        <x:v>Q17_主要卡点</x:v>
      </x:c>
      <x:c r="D3" t="str">
        <x:v>方案流程设计</x:v>
      </x:c>
      <x:c r="E3" t="str">
        <x:v>资产完整性</x:v>
      </x:c>
      <x:c r="F3" t="str">
        <x:v>源码或实现说明不足</x:v>
      </x:c>
      <x:c r="G3" t="str">
        <x:v>复现前判断</x:v>
      </x:c>
      <x:c r="H3" t="str">
        <x:v>未知</x:v>
      </x:c>
      <x:c r="I3" t="str">
        <x:v>是</x:v>
      </x:c>
      <x:c r="J3" t="str">
        <x:v>结合“项目或任务”中的论文项目，以及“希望提前知道的信息”中的“源码”，将“方案流程设计”判定为源码或实现说明不足；源码可用性可在运行前核验，但四个字段未描述实际后果</x:v>
      </x:c>
      <x:c r="K3" t="str">
        <x:v>补充判定一级主题、发生阶段和可提前发现性；影响程度仍未知</x:v>
      </x:c>
      <x:c r="L3" t="str">
        <x:v>是</x:v>
      </x:c>
      <x:c r="M3" t="str">
        <x:v>影响程度</x:v>
      </x:c>
      <x:c r="N3" t="str">
        <x:v>主要卡点</x:v>
      </x:c>
      <x:c r="O3"/>
      <x:c r="P3"/>
      <x:c r="Q3"/>
      <x:c r="R3"/>
      <x:c r="S3"/>
      <x:c r="T3"/>
      <x:c r="U3"/>
      <x:c r="V3"/>
      <x:c r="W3"/>
      <x:c r="X3"/>
      <x:c r="Y3"/>
      <x:c r="Z3" s="199"/>
      <x:c r="AA3" s="199"/>
      <x:c r="AB3" s="199"/>
    </x:row>
    <x:row r="4" ht="46" customHeight="1">
      <x:c r="A4" t="str">
        <x:v>OT-003</x:v>
      </x:c>
      <x:c r="B4" t="str">
        <x:v>F-003</x:v>
      </x:c>
      <x:c r="C4" t="str">
        <x:v>Q17_主要卡点</x:v>
      </x:c>
      <x:c r="D4" t="str">
        <x:v>租用服务器的显卡内存不足</x:v>
      </x:c>
      <x:c r="E4" t="str">
        <x:v>算力适配</x:v>
      </x:c>
      <x:c r="F4" t="str">
        <x:v>显存不足</x:v>
      </x:c>
      <x:c r="G4" t="str">
        <x:v>运行中</x:v>
      </x:c>
      <x:c r="H4" t="str">
        <x:v>中</x:v>
      </x:c>
      <x:c r="I4" t="str">
        <x:v>部分</x:v>
      </x:c>
      <x:c r="J4" t="str">
        <x:v>显存需求可运行前估算，但实际峰值往往需小规模运行确认；样本已付费升级服务器</x:v>
      </x:c>
      <x:c r="K4" t="str">
        <x:v>资源风险可提前估算，仍需运行验证</x:v>
      </x:c>
      <x:c r="L4" t="str">
        <x:v>否</x:v>
      </x:c>
      <x:c r="M4"/>
      <x:c r="N4" t="str">
        <x:v>主要卡点</x:v>
      </x:c>
      <x:c r="O4"/>
      <x:c r="P4"/>
      <x:c r="Q4"/>
      <x:c r="R4"/>
      <x:c r="S4"/>
      <x:c r="T4"/>
      <x:c r="U4"/>
      <x:c r="V4"/>
      <x:c r="W4"/>
      <x:c r="X4"/>
      <x:c r="Y4"/>
      <x:c r="Z4" s="199"/>
      <x:c r="AA4" s="199"/>
      <x:c r="AB4" s="199"/>
    </x:row>
    <x:row r="5" ht="46" customHeight="1">
      <x:c r="A5" t="str">
        <x:v>OT-004</x:v>
      </x:c>
      <x:c r="B5" t="str">
        <x:v>F-004</x:v>
      </x:c>
      <x:c r="C5" t="str">
        <x:v>Q17_主要卡点</x:v>
      </x:c>
      <x:c r="D5" t="str">
        <x:v>代码报错</x:v>
      </x:c>
      <x:c r="E5" t="str">
        <x:v>待定</x:v>
      </x:c>
      <x:c r="F5" t="str">
        <x:v>待定</x:v>
      </x:c>
      <x:c r="G5" t="str">
        <x:v>运行中</x:v>
      </x:c>
      <x:c r="H5" t="str">
        <x:v>未知</x:v>
      </x:c>
      <x:c r="I5" t="str">
        <x:v>未知</x:v>
      </x:c>
      <x:c r="J5" t="str">
        <x:v>结合“尝试处理方式”中的AI改代码和“希望提前知道的信息”中的更好用AI，仍无法确定报错类型、后果或是否可运行前发现；四个开放字段均未提供足够信息</x:v>
      </x:c>
      <x:c r="K5" t="str">
        <x:v>一级主题、影响程度和可提前发现性继续待定／未知</x:v>
      </x:c>
      <x:c r="L5" t="str">
        <x:v>是</x:v>
      </x:c>
      <x:c r="M5" t="str">
        <x:v>一级主题；影响程度；可提前发现性</x:v>
      </x:c>
      <x:c r="N5" t="str">
        <x:v>主要卡点</x:v>
      </x:c>
      <x:c r="O5"/>
      <x:c r="P5"/>
      <x:c r="Q5"/>
      <x:c r="R5"/>
      <x:c r="S5"/>
      <x:c r="T5"/>
      <x:c r="U5"/>
      <x:c r="V5"/>
      <x:c r="W5"/>
      <x:c r="X5"/>
      <x:c r="Y5"/>
      <x:c r="Z5" s="199"/>
      <x:c r="AA5" s="199"/>
      <x:c r="AB5" s="199"/>
    </x:row>
    <x:row r="6" ht="46" customHeight="1">
      <x:c r="A6" t="str">
        <x:v>OT-005</x:v>
      </x:c>
      <x:c r="B6" t="str">
        <x:v>F-011</x:v>
      </x:c>
      <x:c r="C6" t="str">
        <x:v>Q17_主要卡点</x:v>
      </x:c>
      <x:c r="D6" t="str">
        <x:v>数据集获取</x:v>
      </x:c>
      <x:c r="E6" t="str">
        <x:v>数据与路径</x:v>
      </x:c>
      <x:c r="F6" t="str">
        <x:v>数据集获取</x:v>
      </x:c>
      <x:c r="G6" t="str">
        <x:v>下载与环境</x:v>
      </x:c>
      <x:c r="H6" t="str">
        <x:v>未知</x:v>
      </x:c>
      <x:c r="I6" t="str">
        <x:v>是</x:v>
      </x:c>
      <x:c r="J6" t="str">
        <x:v>结合“尝试处理方式”中的公开数据集查询及询问导师，以及“希望提前知道的信息”中的数据可用性和规范性，确认为数据集获取问题，可运行前核验；未描述实际后果</x:v>
      </x:c>
      <x:c r="K6" t="str">
        <x:v>主题、阶段和可提前发现性得到上下文支持；影响程度仍未知</x:v>
      </x:c>
      <x:c r="L6" t="str">
        <x:v>是</x:v>
      </x:c>
      <x:c r="M6" t="str">
        <x:v>影响程度</x:v>
      </x:c>
      <x:c r="N6" t="str">
        <x:v>主要卡点</x:v>
      </x:c>
      <x:c r="O6"/>
      <x:c r="P6"/>
      <x:c r="Q6"/>
      <x:c r="R6"/>
      <x:c r="S6"/>
      <x:c r="T6"/>
      <x:c r="U6"/>
      <x:c r="V6"/>
      <x:c r="W6"/>
      <x:c r="X6"/>
      <x:c r="Y6"/>
      <x:c r="Z6" s="199"/>
      <x:c r="AA6" s="199"/>
      <x:c r="AB6" s="199"/>
    </x:row>
    <x:row r="7" ht="46" customHeight="1">
      <x:c r="A7" t="str">
        <x:v>OT-006</x:v>
      </x:c>
      <x:c r="B7" t="str">
        <x:v>F-012</x:v>
      </x:c>
      <x:c r="C7" t="str">
        <x:v>Q17_主要卡点</x:v>
      </x:c>
      <x:c r="D7" t="str">
        <x:v>论文框架描述模棱两可</x:v>
      </x:c>
      <x:c r="E7" t="str">
        <x:v>资产完整性</x:v>
      </x:c>
      <x:c r="F7" t="str">
        <x:v>论文方法描述不完整</x:v>
      </x:c>
      <x:c r="G7" t="str">
        <x:v>复现前判断</x:v>
      </x:c>
      <x:c r="H7" t="str">
        <x:v>中</x:v>
      </x:c>
      <x:c r="I7" t="str">
        <x:v>是</x:v>
      </x:c>
      <x:c r="J7" t="str">
        <x:v>论文框架描述的模糊性可在正式运行前阅读核验；样本因此测试多条技术路线</x:v>
      </x:c>
      <x:c r="K7" t="str">
        <x:v>为评估H1提供实例</x:v>
      </x:c>
      <x:c r="L7" t="str">
        <x:v>否</x:v>
      </x:c>
      <x:c r="M7"/>
      <x:c r="N7" t="str">
        <x:v>主要卡点</x:v>
      </x:c>
      <x:c r="O7"/>
      <x:c r="P7"/>
      <x:c r="Q7"/>
      <x:c r="R7"/>
      <x:c r="S7"/>
      <x:c r="T7"/>
      <x:c r="U7"/>
      <x:c r="V7"/>
      <x:c r="W7"/>
      <x:c r="X7"/>
      <x:c r="Y7"/>
      <x:c r="Z7" s="199"/>
      <x:c r="AA7" s="199"/>
      <x:c r="AB7" s="199"/>
    </x:row>
    <x:row r="8" ht="46" customHeight="1">
      <x:c r="A8" t="str">
        <x:v>OT-007</x:v>
      </x:c>
      <x:c r="B8" t="str">
        <x:v>F-014</x:v>
      </x:c>
      <x:c r="C8" t="str">
        <x:v>Q17_主要卡点</x:v>
      </x:c>
      <x:c r="D8" t="str">
        <x:v>权重未公开</x:v>
      </x:c>
      <x:c r="E8" t="str">
        <x:v>权重与配置</x:v>
      </x:c>
      <x:c r="F8" t="str">
        <x:v>预训练权重未公开</x:v>
      </x:c>
      <x:c r="G8" t="str">
        <x:v>下载与环境</x:v>
      </x:c>
      <x:c r="H8" t="str">
        <x:v>中</x:v>
      </x:c>
      <x:c r="I8" t="str">
        <x:v>是</x:v>
      </x:c>
      <x:c r="J8" t="str">
        <x:v>权重是否公开可在正式运行前检查；样本因缺少权重联系作者并面临自行训练延迟</x:v>
      </x:c>
      <x:c r="K8" t="str">
        <x:v>为评估H1提供实例；从同一回答拆分</x:v>
      </x:c>
      <x:c r="L8" t="str">
        <x:v>否</x:v>
      </x:c>
      <x:c r="M8"/>
      <x:c r="N8" t="str">
        <x:v>主要卡点</x:v>
      </x:c>
      <x:c r="O8"/>
      <x:c r="P8"/>
      <x:c r="Q8"/>
      <x:c r="R8"/>
      <x:c r="S8"/>
      <x:c r="T8"/>
      <x:c r="U8"/>
      <x:c r="V8"/>
      <x:c r="W8"/>
      <x:c r="X8"/>
      <x:c r="Y8"/>
      <x:c r="Z8" s="199"/>
      <x:c r="AA8" s="199"/>
      <x:c r="AB8" s="199"/>
    </x:row>
    <x:row r="9" ht="46" customHeight="1">
      <x:c r="A9" t="str">
        <x:v>OT-008</x:v>
      </x:c>
      <x:c r="B9" t="str">
        <x:v>F-014</x:v>
      </x:c>
      <x:c r="C9" t="str">
        <x:v>Q17_主要卡点</x:v>
      </x:c>
      <x:c r="D9" t="str">
        <x:v>在公开数据集上训练时间长</x:v>
      </x:c>
      <x:c r="E9" t="str">
        <x:v>算力适配</x:v>
      </x:c>
      <x:c r="F9" t="str">
        <x:v>训练时间过长</x:v>
      </x:c>
      <x:c r="G9" t="str">
        <x:v>运行中</x:v>
      </x:c>
      <x:c r="H9" t="str">
        <x:v>中</x:v>
      </x:c>
      <x:c r="I9" t="str">
        <x:v>部分</x:v>
      </x:c>
      <x:c r="J9" t="str">
        <x:v>运行时间可根据数据规模和资源预估，但实际时长仍需训练后确认</x:v>
      </x:c>
      <x:c r="K9" t="str">
        <x:v>可提前估算部分风险；从同一回答拆分</x:v>
      </x:c>
      <x:c r="L9" t="str">
        <x:v>否</x:v>
      </x:c>
      <x:c r="M9"/>
      <x:c r="N9" t="str">
        <x:v>主要卡点</x:v>
      </x:c>
      <x:c r="O9"/>
      <x:c r="P9"/>
      <x:c r="Q9"/>
      <x:c r="R9"/>
      <x:c r="S9"/>
      <x:c r="T9"/>
      <x:c r="U9"/>
      <x:c r="V9"/>
      <x:c r="W9"/>
      <x:c r="X9"/>
      <x:c r="Y9"/>
      <x:c r="Z9" s="199"/>
      <x:c r="AA9" s="199"/>
      <x:c r="AB9" s="199"/>
    </x:row>
    <x:row r="10" ht="46" customHeight="1">
      <x:c r="A10" t="str">
        <x:v>OT-009</x:v>
      </x:c>
      <x:c r="B10" t="str">
        <x:v>F-015</x:v>
      </x:c>
      <x:c r="C10" t="str">
        <x:v>Q17_主要卡点</x:v>
      </x:c>
      <x:c r="D10" t="str">
        <x:v>数据集下载和预处理</x:v>
      </x:c>
      <x:c r="E10" t="str">
        <x:v>数据与路径</x:v>
      </x:c>
      <x:c r="F10" t="str">
        <x:v>数据下载与预处理</x:v>
      </x:c>
      <x:c r="G10" t="str">
        <x:v>下载与环境</x:v>
      </x:c>
      <x:c r="H10" t="str">
        <x:v>中</x:v>
      </x:c>
      <x:c r="I10" t="str">
        <x:v>部分</x:v>
      </x:c>
      <x:c r="J10" t="str">
        <x:v>数据大小和下载条件可提前检查，预处理的实际资源需求可能需小规模运行确认；样本转移到更大内存服务器</x:v>
      </x:c>
      <x:c r="K10" t="str">
        <x:v>为评估H1提供实例</x:v>
      </x:c>
      <x:c r="L10" t="str">
        <x:v>否</x:v>
      </x:c>
      <x:c r="M10"/>
      <x:c r="N10" t="str">
        <x:v>主要卡点</x:v>
      </x:c>
      <x:c r="O10"/>
      <x:c r="P10"/>
      <x:c r="Q10"/>
      <x:c r="R10"/>
      <x:c r="S10"/>
      <x:c r="T10"/>
      <x:c r="U10"/>
      <x:c r="V10"/>
      <x:c r="W10"/>
      <x:c r="X10"/>
      <x:c r="Y10"/>
      <x:c r="Z10" s="199"/>
      <x:c r="AA10" s="199"/>
      <x:c r="AB10" s="199"/>
    </x:row>
    <x:row r="11" ht="46" customHeight="1">
      <x:c r="A11" t="str">
        <x:v>OT-010</x:v>
      </x:c>
      <x:c r="B11" t="str">
        <x:v>F-020</x:v>
      </x:c>
      <x:c r="C11" t="str">
        <x:v>Q17_主要卡点</x:v>
      </x:c>
      <x:c r="D11" t="str">
        <x:v>环境配置</x:v>
      </x:c>
      <x:c r="E11" t="str">
        <x:v>环境兼容性</x:v>
      </x:c>
      <x:c r="F11" t="str">
        <x:v>环境配置</x:v>
      </x:c>
      <x:c r="G11" t="str">
        <x:v>下载与环境</x:v>
      </x:c>
      <x:c r="H11" t="str">
        <x:v>未知</x:v>
      </x:c>
      <x:c r="I11" t="str">
        <x:v>是</x:v>
      </x:c>
      <x:c r="J11" t="str">
        <x:v>结合“尝试处理方式”中的AI协助，以及“希望提前知道的信息”中的环境配置信息，确认为环境兼容性问题，可运行前核验；未描述实际后果</x:v>
      </x:c>
      <x:c r="K11" t="str">
        <x:v>主题、阶段和可提前发现性得到上下文支持；影响程度仍未知</x:v>
      </x:c>
      <x:c r="L11" t="str">
        <x:v>是</x:v>
      </x:c>
      <x:c r="M11" t="str">
        <x:v>影响程度</x:v>
      </x:c>
      <x:c r="N11" t="str">
        <x:v>主要卡点</x:v>
      </x:c>
      <x:c r="O11"/>
      <x:c r="P11"/>
      <x:c r="Q11"/>
      <x:c r="R11"/>
      <x:c r="S11"/>
      <x:c r="T11"/>
      <x:c r="U11"/>
      <x:c r="V11"/>
      <x:c r="W11"/>
      <x:c r="X11"/>
      <x:c r="Y11"/>
      <x:c r="Z11" s="199"/>
      <x:c r="AA11" s="199"/>
      <x:c r="AB11" s="199"/>
    </x:row>
    <x:row r="12" ht="46" customHeight="1">
      <x:c r="A12" t="str">
        <x:v>OT-011</x:v>
      </x:c>
      <x:c r="B12" t="str">
        <x:v>F-021</x:v>
      </x:c>
      <x:c r="C12" t="str">
        <x:v>Q17_主要卡点</x:v>
      </x:c>
      <x:c r="D12" t="str">
        <x:v>无</x:v>
      </x:c>
      <x:c r="E12" t="str">
        <x:v>待定</x:v>
      </x:c>
      <x:c r="F12" t="str">
        <x:v>未报告卡点</x:v>
      </x:c>
      <x:c r="G12" t="str">
        <x:v>未知</x:v>
      </x:c>
      <x:c r="H12" t="str">
        <x:v>未知</x:v>
      </x:c>
      <x:c r="I12" t="str">
        <x:v>未知</x:v>
      </x:c>
      <x:c r="J12" t="str">
        <x:v>“项目或任务”“主要卡点”“尝试处理方式”和“希望提前知道的信息”均回答“无”，四个开放字段均未提供足够信息</x:v>
      </x:c>
      <x:c r="K12" t="str">
        <x:v>H1反例／未报告卡点；一级主题待定，阶段、影响和可提前发现性未知</x:v>
      </x:c>
      <x:c r="L12" t="str">
        <x:v>是</x:v>
      </x:c>
      <x:c r="M12" t="str">
        <x:v>一级主题；发生阶段；影响程度；可提前发现性</x:v>
      </x:c>
      <x:c r="N12" t="str">
        <x:v>主要卡点</x:v>
      </x:c>
      <x:c r="O12"/>
      <x:c r="P12"/>
      <x:c r="Q12"/>
      <x:c r="R12"/>
      <x:c r="S12"/>
      <x:c r="T12"/>
      <x:c r="U12"/>
      <x:c r="V12"/>
      <x:c r="W12"/>
      <x:c r="X12"/>
      <x:c r="Y12"/>
      <x:c r="Z12" s="199"/>
      <x:c r="AA12" s="199"/>
      <x:c r="AB12" s="199"/>
    </x:row>
    <x:row r="13" ht="48" customHeight="1">
      <x:c r="A13" t="str">
        <x:v>OT-012</x:v>
      </x:c>
      <x:c r="B13" t="str">
        <x:v>F-001</x:v>
      </x:c>
      <x:c r="C13" t="str">
        <x:v>Q17_尝试处理方式</x:v>
      </x:c>
      <x:c r="D13" t="str">
        <x:v>搜索引擎检索</x:v>
      </x:c>
      <x:c r="E13" t="str">
        <x:v>数据与路径</x:v>
      </x:c>
      <x:c r="F13" t="str">
        <x:v>搜索引擎检索</x:v>
      </x:c>
      <x:c r="G13" t="str">
        <x:v>下载与环境</x:v>
      </x:c>
      <x:c r="H13" t="str">
        <x:v>不适用</x:v>
      </x:c>
      <x:c r="I13" t="str">
        <x:v>不适用</x:v>
      </x:c>
      <x:c r="J13" t="str">
        <x:v>结合主要卡点中的官网审批问题，判定该动作用于查找数据访问信息；原话未说明处理结果</x:v>
      </x:c>
      <x:c r="K13" t="str">
        <x:v>处理动作本身已明确；原话未说明处理成效，不据此标记编码不确定</x:v>
      </x:c>
      <x:c r="L13" t="str">
        <x:v>否</x:v>
      </x:c>
      <x:c r="M13"/>
      <x:c r="N13" t="str">
        <x:v>处理方式</x:v>
      </x:c>
      <x:c r="O13" t="str">
        <x:v>结果未知</x:v>
      </x:c>
      <x:c r="P13"/>
      <x:c r="Q13"/>
      <x:c r="R13"/>
      <x:c r="S13"/>
      <x:c r="T13"/>
      <x:c r="U13"/>
      <x:c r="V13"/>
      <x:c r="W13"/>
      <x:c r="X13"/>
      <x:c r="Y13"/>
      <x:c r="Z13" s="199"/>
      <x:c r="AA13" s="199"/>
      <x:c r="AB13" s="199"/>
    </x:row>
    <x:row r="14" ht="48" customHeight="1">
      <x:c r="A14" t="str">
        <x:v>OT-013</x:v>
      </x:c>
      <x:c r="B14" t="str">
        <x:v>F-001</x:v>
      </x:c>
      <x:c r="C14" t="str">
        <x:v>Q17_尝试处理方式</x:v>
      </x:c>
      <x:c r="D14" t="str">
        <x:v>大模型提问</x:v>
      </x:c>
      <x:c r="E14" t="str">
        <x:v>数据与路径</x:v>
      </x:c>
      <x:c r="F14" t="str">
        <x:v>询问大模型</x:v>
      </x:c>
      <x:c r="G14" t="str">
        <x:v>下载与环境</x:v>
      </x:c>
      <x:c r="H14" t="str">
        <x:v>不适用</x:v>
      </x:c>
      <x:c r="I14" t="str">
        <x:v>不适用</x:v>
      </x:c>
      <x:c r="J14" t="str">
        <x:v>结合主要卡点中的官网审批问题，判定该动作用于查找数据访问信息；原话未说明处理结果</x:v>
      </x:c>
      <x:c r="K14" t="str">
        <x:v>处理动作本身已明确；原话未说明处理成效，不据此标记编码不确定</x:v>
      </x:c>
      <x:c r="L14" t="str">
        <x:v>否</x:v>
      </x:c>
      <x:c r="M14"/>
      <x:c r="N14" t="str">
        <x:v>处理方式</x:v>
      </x:c>
      <x:c r="O14" t="str">
        <x:v>结果未知</x:v>
      </x:c>
      <x:c r="P14"/>
      <x:c r="Q14"/>
      <x:c r="R14"/>
      <x:c r="S14"/>
      <x:c r="T14"/>
      <x:c r="U14"/>
      <x:c r="V14"/>
      <x:c r="W14"/>
      <x:c r="X14"/>
      <x:c r="Y14"/>
      <x:c r="Z14" s="199"/>
      <x:c r="AA14" s="199"/>
      <x:c r="AB14" s="199"/>
    </x:row>
    <x:row r="15" ht="48" customHeight="1">
      <x:c r="A15" t="str">
        <x:v>OT-014</x:v>
      </x:c>
      <x:c r="B15" t="str">
        <x:v>F-002</x:v>
      </x:c>
      <x:c r="C15" t="str">
        <x:v>Q17_尝试处理方式</x:v>
      </x:c>
      <x:c r="D15" t="str">
        <x:v>利用大模型辅助复现</x:v>
      </x:c>
      <x:c r="E15" t="str">
        <x:v>资产完整性</x:v>
      </x:c>
      <x:c r="F15" t="str">
        <x:v>询问大模型</x:v>
      </x:c>
      <x:c r="G15" t="str">
        <x:v>复现前判断</x:v>
      </x:c>
      <x:c r="H15" t="str">
        <x:v>不适用</x:v>
      </x:c>
      <x:c r="I15" t="str">
        <x:v>不适用</x:v>
      </x:c>
      <x:c r="J15" t="str">
        <x:v>结合主要卡点“方案流程设计”和希望提前知道“源码”，判定为辅助理解实现方案；未说明结果</x:v>
      </x:c>
      <x:c r="K15" t="str">
        <x:v>处理动作本身已明确；原话未说明处理成效，不据此标记编码不确定</x:v>
      </x:c>
      <x:c r="L15" t="str">
        <x:v>否</x:v>
      </x:c>
      <x:c r="M15"/>
      <x:c r="N15" t="str">
        <x:v>处理方式</x:v>
      </x:c>
      <x:c r="O15" t="str">
        <x:v>结果未知</x:v>
      </x:c>
      <x:c r="P15"/>
      <x:c r="Q15"/>
      <x:c r="R15"/>
      <x:c r="S15"/>
      <x:c r="T15"/>
      <x:c r="U15"/>
      <x:c r="V15"/>
      <x:c r="W15"/>
      <x:c r="X15"/>
      <x:c r="Y15"/>
      <x:c r="Z15" s="199"/>
      <x:c r="AA15" s="199"/>
      <x:c r="AB15" s="199"/>
    </x:row>
    <x:row r="16" ht="48" customHeight="1">
      <x:c r="A16" t="str">
        <x:v>OT-015</x:v>
      </x:c>
      <x:c r="B16" t="str">
        <x:v>F-003</x:v>
      </x:c>
      <x:c r="C16" t="str">
        <x:v>Q17_尝试处理方式</x:v>
      </x:c>
      <x:c r="D16" t="str">
        <x:v>花钱升级服务器</x:v>
      </x:c>
      <x:c r="E16" t="str">
        <x:v>算力适配</x:v>
      </x:c>
      <x:c r="F16" t="str">
        <x:v>升级服务器资源</x:v>
      </x:c>
      <x:c r="G16" t="str">
        <x:v>运行中</x:v>
      </x:c>
      <x:c r="H16" t="str">
        <x:v>不适用</x:v>
      </x:c>
      <x:c r="I16" t="str">
        <x:v>不适用</x:v>
      </x:c>
      <x:c r="J16" t="str">
        <x:v>结合主要卡点中的显卡内存不足，判定为增加算力资源；仅描述升级动作，未明确说明是否解决问题</x:v>
      </x:c>
      <x:c r="K16" t="str">
        <x:v>处理动作本身已明确；原话未说明处理成效，不据此标记编码不确定</x:v>
      </x:c>
      <x:c r="L16" t="str">
        <x:v>否</x:v>
      </x:c>
      <x:c r="M16"/>
      <x:c r="N16" t="str">
        <x:v>处理方式</x:v>
      </x:c>
      <x:c r="O16" t="str">
        <x:v>结果未知</x:v>
      </x:c>
      <x:c r="P16"/>
      <x:c r="Q16"/>
      <x:c r="R16"/>
      <x:c r="S16"/>
      <x:c r="T16"/>
      <x:c r="U16"/>
      <x:c r="V16"/>
      <x:c r="W16"/>
      <x:c r="X16"/>
      <x:c r="Y16"/>
      <x:c r="Z16" s="199"/>
      <x:c r="AA16" s="199"/>
      <x:c r="AB16" s="199"/>
    </x:row>
    <x:row r="17" ht="48" customHeight="1">
      <x:c r="A17" t="str">
        <x:v>OT-016</x:v>
      </x:c>
      <x:c r="B17" t="str">
        <x:v>F-004</x:v>
      </x:c>
      <x:c r="C17" t="str">
        <x:v>Q17_尝试处理方式</x:v>
      </x:c>
      <x:c r="D17" t="str">
        <x:v>AI修改代码</x:v>
      </x:c>
      <x:c r="E17" t="str">
        <x:v>未明确对应问题</x:v>
      </x:c>
      <x:c r="F17" t="str">
        <x:v>使用AI修改代码</x:v>
      </x:c>
      <x:c r="G17" t="str">
        <x:v>运行中</x:v>
      </x:c>
      <x:c r="H17" t="str">
        <x:v>不适用</x:v>
      </x:c>
      <x:c r="I17" t="str">
        <x:v>不适用</x:v>
      </x:c>
      <x:c r="J17" t="str">
        <x:v>主要卡点仅为“代码报错”，四个Q17字段均未说明错误类型，无法可靠归入预设问题主题；未说明结果</x:v>
      </x:c>
      <x:c r="K17" t="str">
        <x:v>处理动作本身已明确；原话未说明处理成效，不据此标记编码不确定</x:v>
      </x:c>
      <x:c r="L17" t="str">
        <x:v>是</x:v>
      </x:c>
      <x:c r="M17" t="str">
        <x:v>一级主题</x:v>
      </x:c>
      <x:c r="N17" t="str">
        <x:v>处理方式</x:v>
      </x:c>
      <x:c r="O17" t="str">
        <x:v>结果未知</x:v>
      </x:c>
      <x:c r="P17"/>
      <x:c r="Q17"/>
      <x:c r="R17"/>
      <x:c r="S17"/>
      <x:c r="T17"/>
      <x:c r="U17"/>
      <x:c r="V17"/>
      <x:c r="W17"/>
      <x:c r="X17"/>
      <x:c r="Y17"/>
      <x:c r="Z17" s="199"/>
      <x:c r="AA17" s="199"/>
      <x:c r="AB17" s="199"/>
    </x:row>
    <x:row r="18" ht="48" customHeight="1">
      <x:c r="A18" t="str">
        <x:v>OT-017</x:v>
      </x:c>
      <x:c r="B18" t="str">
        <x:v>F-011</x:v>
      </x:c>
      <x:c r="C18" t="str">
        <x:v>Q17_尝试处理方式</x:v>
      </x:c>
      <x:c r="D18" t="str">
        <x:v>查询公开数据集</x:v>
      </x:c>
      <x:c r="E18" t="str">
        <x:v>数据与路径</x:v>
      </x:c>
      <x:c r="F18" t="str">
        <x:v>查找公开数据集</x:v>
      </x:c>
      <x:c r="G18" t="str">
        <x:v>下载与环境</x:v>
      </x:c>
      <x:c r="H18" t="str">
        <x:v>不适用</x:v>
      </x:c>
      <x:c r="I18" t="str">
        <x:v>不适用</x:v>
      </x:c>
      <x:c r="J18" t="str">
        <x:v>结合主要卡点“数据集获取”，判定为寻找可用数据源；未说明结果</x:v>
      </x:c>
      <x:c r="K18" t="str">
        <x:v>处理动作本身已明确；原话未说明处理成效，不据此标记编码不确定</x:v>
      </x:c>
      <x:c r="L18" t="str">
        <x:v>否</x:v>
      </x:c>
      <x:c r="M18"/>
      <x:c r="N18" t="str">
        <x:v>处理方式</x:v>
      </x:c>
      <x:c r="O18" t="str">
        <x:v>结果未知</x:v>
      </x:c>
      <x:c r="P18"/>
      <x:c r="Q18"/>
      <x:c r="R18"/>
      <x:c r="S18"/>
      <x:c r="T18"/>
      <x:c r="U18"/>
      <x:c r="V18"/>
      <x:c r="W18"/>
      <x:c r="X18"/>
      <x:c r="Y18"/>
      <x:c r="Z18" s="199"/>
      <x:c r="AA18" s="199"/>
      <x:c r="AB18" s="199"/>
    </x:row>
    <x:row r="19" ht="48" customHeight="1">
      <x:c r="A19" t="str">
        <x:v>OT-018</x:v>
      </x:c>
      <x:c r="B19" t="str">
        <x:v>F-011</x:v>
      </x:c>
      <x:c r="C19" t="str">
        <x:v>Q17_尝试处理方式</x:v>
      </x:c>
      <x:c r="D19" t="str">
        <x:v>询问导师</x:v>
      </x:c>
      <x:c r="E19" t="str">
        <x:v>数据与路径</x:v>
      </x:c>
      <x:c r="F19" t="str">
        <x:v>向导师求助</x:v>
      </x:c>
      <x:c r="G19" t="str">
        <x:v>下载与环境</x:v>
      </x:c>
      <x:c r="H19" t="str">
        <x:v>不适用</x:v>
      </x:c>
      <x:c r="I19" t="str">
        <x:v>不适用</x:v>
      </x:c>
      <x:c r="J19" t="str">
        <x:v>结合主要卡点“数据集获取”，判定为向导师寻求数据获取帮助；未说明结果</x:v>
      </x:c>
      <x:c r="K19" t="str">
        <x:v>处理动作本身已明确；原话未说明处理成效，不据此标记编码不确定</x:v>
      </x:c>
      <x:c r="L19" t="str">
        <x:v>否</x:v>
      </x:c>
      <x:c r="M19"/>
      <x:c r="N19" t="str">
        <x:v>处理方式</x:v>
      </x:c>
      <x:c r="O19" t="str">
        <x:v>结果未知</x:v>
      </x:c>
      <x:c r="P19"/>
      <x:c r="Q19"/>
      <x:c r="R19"/>
      <x:c r="S19"/>
      <x:c r="T19"/>
      <x:c r="U19"/>
      <x:c r="V19"/>
      <x:c r="W19"/>
      <x:c r="X19"/>
      <x:c r="Y19"/>
      <x:c r="Z19" s="199"/>
      <x:c r="AA19" s="199"/>
      <x:c r="AB19" s="199"/>
    </x:row>
    <x:row r="20" ht="48" customHeight="1">
      <x:c r="A20" t="str">
        <x:v>OT-019</x:v>
      </x:c>
      <x:c r="B20" t="str">
        <x:v>F-012</x:v>
      </x:c>
      <x:c r="C20" t="str">
        <x:v>Q17_尝试处理方式</x:v>
      </x:c>
      <x:c r="D20" t="str">
        <x:v>测试所有可能的技术路线</x:v>
      </x:c>
      <x:c r="E20" t="str">
        <x:v>资产完整性</x:v>
      </x:c>
      <x:c r="F20" t="str">
        <x:v>测试多条技术路线</x:v>
      </x:c>
      <x:c r="G20" t="str">
        <x:v>复现前判断</x:v>
      </x:c>
      <x:c r="H20" t="str">
        <x:v>不适用</x:v>
      </x:c>
      <x:c r="I20" t="str">
        <x:v>不适用</x:v>
      </x:c>
      <x:c r="J20" t="str">
        <x:v>结合主要卡点中论文框架描述模棱两可，判定为比较多种实现路线；未说明结果</x:v>
      </x:c>
      <x:c r="K20" t="str">
        <x:v>处理动作本身已明确；原话未说明处理成效，不据此标记编码不确定</x:v>
      </x:c>
      <x:c r="L20" t="str">
        <x:v>否</x:v>
      </x:c>
      <x:c r="M20"/>
      <x:c r="N20" t="str">
        <x:v>处理方式</x:v>
      </x:c>
      <x:c r="O20" t="str">
        <x:v>结果未知</x:v>
      </x:c>
      <x:c r="P20"/>
      <x:c r="Q20"/>
      <x:c r="R20"/>
      <x:c r="S20"/>
      <x:c r="T20"/>
      <x:c r="U20"/>
      <x:c r="V20"/>
      <x:c r="W20"/>
      <x:c r="X20"/>
      <x:c r="Y20"/>
      <x:c r="Z20" s="199"/>
      <x:c r="AA20" s="199"/>
      <x:c r="AB20" s="199"/>
    </x:row>
    <x:row r="21" ht="48" customHeight="1">
      <x:c r="A21" t="str">
        <x:v>OT-020</x:v>
      </x:c>
      <x:c r="B21" t="str">
        <x:v>F-014</x:v>
      </x:c>
      <x:c r="C21" t="str">
        <x:v>Q17_尝试处理方式</x:v>
      </x:c>
      <x:c r="D21" t="str">
        <x:v>联系作者</x:v>
      </x:c>
      <x:c r="E21" t="str">
        <x:v>权重与配置</x:v>
      </x:c>
      <x:c r="F21" t="str">
        <x:v>联系作者</x:v>
      </x:c>
      <x:c r="G21" t="str">
        <x:v>下载与环境</x:v>
      </x:c>
      <x:c r="H21" t="str">
        <x:v>不适用</x:v>
      </x:c>
      <x:c r="I21" t="str">
        <x:v>不适用</x:v>
      </x:c>
      <x:c r="J21" t="str">
        <x:v>结合主要卡点中的“权重未公开”，判定为向作者索取权重或说明；未说明结果</x:v>
      </x:c>
      <x:c r="K21" t="str">
        <x:v>处理动作本身已明确；原话未说明处理成效，不据此标记编码不确定</x:v>
      </x:c>
      <x:c r="L21" t="str">
        <x:v>否</x:v>
      </x:c>
      <x:c r="M21"/>
      <x:c r="N21" t="str">
        <x:v>处理方式</x:v>
      </x:c>
      <x:c r="O21" t="str">
        <x:v>结果未知</x:v>
      </x:c>
      <x:c r="P21"/>
      <x:c r="Q21"/>
      <x:c r="R21"/>
      <x:c r="S21"/>
      <x:c r="T21"/>
      <x:c r="U21"/>
      <x:c r="V21"/>
      <x:c r="W21"/>
      <x:c r="X21"/>
      <x:c r="Y21"/>
      <x:c r="Z21" s="199"/>
      <x:c r="AA21" s="199"/>
      <x:c r="AB21" s="199"/>
    </x:row>
    <x:row r="22" ht="48" customHeight="1">
      <x:c r="A22" t="str">
        <x:v>OT-021</x:v>
      </x:c>
      <x:c r="B22" t="str">
        <x:v>F-015</x:v>
      </x:c>
      <x:c r="C22" t="str">
        <x:v>Q17_尝试处理方式</x:v>
      </x:c>
      <x:c r="D22" t="str">
        <x:v>转移到内存更大的服务器</x:v>
      </x:c>
      <x:c r="E22" t="str">
        <x:v>算力适配</x:v>
      </x:c>
      <x:c r="F22" t="str">
        <x:v>迁移至更大内存服务器</x:v>
      </x:c>
      <x:c r="G22" t="str">
        <x:v>下载与环境</x:v>
      </x:c>
      <x:c r="H22" t="str">
        <x:v>不适用</x:v>
      </x:c>
      <x:c r="I22" t="str">
        <x:v>不适用</x:v>
      </x:c>
      <x:c r="J22" t="str">
        <x:v>结合主要卡点中的数据下载和预处理资源问题，拆分为服务器迁移动作；未明确说明结果</x:v>
      </x:c>
      <x:c r="K22" t="str">
        <x:v>处理动作本身已明确；原话未说明处理成效，不据此标记编码不确定</x:v>
      </x:c>
      <x:c r="L22" t="str">
        <x:v>否</x:v>
      </x:c>
      <x:c r="M22"/>
      <x:c r="N22" t="str">
        <x:v>处理方式</x:v>
      </x:c>
      <x:c r="O22" t="str">
        <x:v>结果未知</x:v>
      </x:c>
      <x:c r="P22"/>
      <x:c r="Q22"/>
      <x:c r="R22"/>
      <x:c r="S22"/>
      <x:c r="T22"/>
      <x:c r="U22"/>
      <x:c r="V22"/>
      <x:c r="W22"/>
      <x:c r="X22"/>
      <x:c r="Y22"/>
      <x:c r="Z22" s="199"/>
      <x:c r="AA22" s="199"/>
      <x:c r="AB22" s="199"/>
    </x:row>
    <x:row r="23" ht="48" customHeight="1">
      <x:c r="A23" t="str">
        <x:v>OT-022</x:v>
      </x:c>
      <x:c r="B23" t="str">
        <x:v>F-015</x:v>
      </x:c>
      <x:c r="C23" t="str">
        <x:v>Q17_尝试处理方式</x:v>
      </x:c>
      <x:c r="D23" t="str">
        <x:v>在新服务器上进行下载和预处理</x:v>
      </x:c>
      <x:c r="E23" t="str">
        <x:v>数据与路径</x:v>
      </x:c>
      <x:c r="F23" t="str">
        <x:v>重新下载和预处理数据</x:v>
      </x:c>
      <x:c r="G23" t="str">
        <x:v>下载与环境</x:v>
      </x:c>
      <x:c r="H23" t="str">
        <x:v>不适用</x:v>
      </x:c>
      <x:c r="I23" t="str">
        <x:v>不适用</x:v>
      </x:c>
      <x:c r="J23" t="str">
        <x:v>同一原话中的另一独立动作，针对数据下载和预处理；未明确说明结果</x:v>
      </x:c>
      <x:c r="K23" t="str">
        <x:v>处理动作本身已明确；原话未说明处理成效，不据此标记编码不确定</x:v>
      </x:c>
      <x:c r="L23" t="str">
        <x:v>否</x:v>
      </x:c>
      <x:c r="M23"/>
      <x:c r="N23" t="str">
        <x:v>处理方式</x:v>
      </x:c>
      <x:c r="O23" t="str">
        <x:v>结果未知</x:v>
      </x:c>
      <x:c r="P23"/>
      <x:c r="Q23"/>
      <x:c r="R23"/>
      <x:c r="S23"/>
      <x:c r="T23"/>
      <x:c r="U23"/>
      <x:c r="V23"/>
      <x:c r="W23"/>
      <x:c r="X23"/>
      <x:c r="Y23"/>
      <x:c r="Z23" s="199"/>
      <x:c r="AA23" s="199"/>
      <x:c r="AB23" s="199"/>
    </x:row>
    <x:row r="24" ht="48" customHeight="1">
      <x:c r="A24" t="str">
        <x:v>OT-023</x:v>
      </x:c>
      <x:c r="B24" t="str">
        <x:v>F-020</x:v>
      </x:c>
      <x:c r="C24" t="str">
        <x:v>Q17_尝试处理方式</x:v>
      </x:c>
      <x:c r="D24" t="str">
        <x:v>AI协助</x:v>
      </x:c>
      <x:c r="E24" t="str">
        <x:v>环境兼容性</x:v>
      </x:c>
      <x:c r="F24" t="str">
        <x:v>询问大模型</x:v>
      </x:c>
      <x:c r="G24" t="str">
        <x:v>下载与环境</x:v>
      </x:c>
      <x:c r="H24" t="str">
        <x:v>不适用</x:v>
      </x:c>
      <x:c r="I24" t="str">
        <x:v>不适用</x:v>
      </x:c>
      <x:c r="J24" t="str">
        <x:v>结合主要卡点“环境配置”和希望提前知道“环境配置信息”，判定为用AI协助配置环境；未说明结果</x:v>
      </x:c>
      <x:c r="K24" t="str">
        <x:v>处理动作本身已明确；原话未说明处理成效，不据此标记编码不确定</x:v>
      </x:c>
      <x:c r="L24" t="str">
        <x:v>否</x:v>
      </x:c>
      <x:c r="M24"/>
      <x:c r="N24" t="str">
        <x:v>处理方式</x:v>
      </x:c>
      <x:c r="O24" t="str">
        <x:v>结果未知</x:v>
      </x:c>
      <x:c r="P24"/>
      <x:c r="Q24"/>
      <x:c r="R24"/>
      <x:c r="S24"/>
      <x:c r="T24"/>
      <x:c r="U24"/>
      <x:c r="V24"/>
      <x:c r="W24"/>
      <x:c r="X24"/>
      <x:c r="Y24"/>
      <x:c r="Z24" s="199"/>
      <x:c r="AA24" s="199"/>
      <x:c r="AB24" s="199"/>
    </x:row>
    <x:row r="25" ht="48" customHeight="1">
      <x:c r="A25" t="str">
        <x:v>OT-024</x:v>
      </x:c>
      <x:c r="B25" t="str">
        <x:v>F-021</x:v>
      </x:c>
      <x:c r="C25" t="str">
        <x:v>Q17_尝试处理方式</x:v>
      </x:c>
      <x:c r="D25" t="str">
        <x:v>无</x:v>
      </x:c>
      <x:c r="E25" t="str">
        <x:v>未明确对应问题</x:v>
      </x:c>
      <x:c r="F25" t="str">
        <x:v>未采取处理方式</x:v>
      </x:c>
      <x:c r="G25" t="str">
        <x:v>未知</x:v>
      </x:c>
      <x:c r="H25" t="str">
        <x:v>不适用</x:v>
      </x:c>
      <x:c r="I25" t="str">
        <x:v>不适用</x:v>
      </x:c>
      <x:c r="J25" t="str">
        <x:v>四个Q17字段均回答“无”，保留为未采取处理方式的反例；无处理结果可判断</x:v>
      </x:c>
      <x:c r="K25" t="str">
        <x:v>记录性质：反例/未行动；是否计入实际处理动作总数：否</x:v>
      </x:c>
      <x:c r="L25" t="str">
        <x:v>是</x:v>
      </x:c>
      <x:c r="M25" t="str">
        <x:v>一级主题</x:v>
      </x:c>
      <x:c r="N25" t="str">
        <x:v>处理方式</x:v>
      </x:c>
      <x:c r="O25" t="str">
        <x:v>不适用</x:v>
      </x:c>
      <x:c r="P25"/>
      <x:c r="Q25"/>
      <x:c r="R25"/>
      <x:c r="S25"/>
      <x:c r="T25"/>
      <x:c r="U25"/>
      <x:c r="V25"/>
      <x:c r="W25"/>
      <x:c r="X25"/>
      <x:c r="Y25"/>
      <x:c r="Z25" s="199"/>
      <x:c r="AA25" s="199"/>
      <x:c r="AB25" s="199"/>
    </x:row>
    <x:row r="26" ht="52" customHeight="1">
      <x:c r="A26" t="str">
        <x:v>OT-025</x:v>
      </x:c>
      <x:c r="B26" t="str">
        <x:v>F-001</x:v>
      </x:c>
      <x:c r="C26" t="str">
        <x:v>Q17_希望提前知道的信息</x:v>
      </x:c>
      <x:c r="D26" t="str">
        <x:v>知道官网审批的细节流程</x:v>
      </x:c>
      <x:c r="E26" t="str">
        <x:v>数据与路径</x:v>
      </x:c>
      <x:c r="F26" t="str">
        <x:v>数据访问审批流程</x:v>
      </x:c>
      <x:c r="G26" t="str">
        <x:v>不适用</x:v>
      </x:c>
      <x:c r="H26" t="str">
        <x:v>不适用</x:v>
      </x:c>
      <x:c r="I26" t="str">
        <x:v>是</x:v>
      </x:c>
      <x:c r="J26" t="str">
        <x:v>官网审批流程属于正式运行前可查验的数据访问条件</x:v>
      </x:c>
      <x:c r="K26" t="str">
        <x:v>事实编码与产品机会推断分列保存</x:v>
      </x:c>
      <x:c r="L26" t="str">
        <x:v>否</x:v>
      </x:c>
      <x:c r="M26"/>
      <x:c r="N26" t="str">
        <x:v>提前信息需求</x:v>
      </x:c>
      <x:c r="O26" t="str">
        <x:v>不适用</x:v>
      </x:c>
      <x:c r="P26" t="str">
        <x:v>复现前判断</x:v>
      </x:c>
      <x:c r="Q26" t="str">
        <x:v>准备度卡：数据访问与审批流程</x:v>
      </x:c>
      <x:c r="R26" t="str">
        <x:v>是</x:v>
      </x:c>
      <x:c r="S26"/>
      <x:c r="T26"/>
      <x:c r="U26"/>
      <x:c r="V26"/>
      <x:c r="W26"/>
      <x:c r="X26"/>
      <x:c r="Y26"/>
      <x:c r="Z26" s="199"/>
      <x:c r="AA26" s="199"/>
      <x:c r="AB26" s="199"/>
    </x:row>
    <x:row r="27" ht="52" customHeight="1">
      <x:c r="A27" t="str">
        <x:v>OT-026</x:v>
      </x:c>
      <x:c r="B27" t="str">
        <x:v>F-002</x:v>
      </x:c>
      <x:c r="C27" t="str">
        <x:v>Q17_希望提前知道的信息</x:v>
      </x:c>
      <x:c r="D27" t="str">
        <x:v>源码</x:v>
      </x:c>
      <x:c r="E27" t="str">
        <x:v>资产完整性</x:v>
      </x:c>
      <x:c r="F27" t="str">
        <x:v>源码是否提供</x:v>
      </x:c>
      <x:c r="G27" t="str">
        <x:v>不适用</x:v>
      </x:c>
      <x:c r="H27" t="str">
        <x:v>不适用</x:v>
      </x:c>
      <x:c r="I27" t="str">
        <x:v>是</x:v>
      </x:c>
      <x:c r="J27" t="str">
        <x:v>源码是否提供可通过项目材料在正式运行前核验</x:v>
      </x:c>
      <x:c r="K27" t="str">
        <x:v>事实编码与产品机会推断分列保存</x:v>
      </x:c>
      <x:c r="L27" t="str">
        <x:v>否</x:v>
      </x:c>
      <x:c r="M27"/>
      <x:c r="N27" t="str">
        <x:v>提前信息需求</x:v>
      </x:c>
      <x:c r="O27" t="str">
        <x:v>不适用</x:v>
      </x:c>
      <x:c r="P27" t="str">
        <x:v>复现前判断</x:v>
      </x:c>
      <x:c r="Q27" t="str">
        <x:v>准备度卡：源码与资产完整性</x:v>
      </x:c>
      <x:c r="R27" t="str">
        <x:v>是</x:v>
      </x:c>
      <x:c r="S27"/>
      <x:c r="T27"/>
      <x:c r="U27"/>
      <x:c r="V27"/>
      <x:c r="W27"/>
      <x:c r="X27"/>
      <x:c r="Y27"/>
      <x:c r="Z27" s="199"/>
      <x:c r="AA27" s="199"/>
      <x:c r="AB27" s="199"/>
    </x:row>
    <x:row r="28" ht="52" customHeight="1">
      <x:c r="A28" t="str">
        <x:v>OT-027</x:v>
      </x:c>
      <x:c r="B28" t="str">
        <x:v>F-003</x:v>
      </x:c>
      <x:c r="C28" t="str">
        <x:v>Q17_希望提前知道的信息</x:v>
      </x:c>
      <x:c r="D28" t="str">
        <x:v>运行代码需要的环境</x:v>
      </x:c>
      <x:c r="E28" t="str">
        <x:v>环境兼容性</x:v>
      </x:c>
      <x:c r="F28" t="str">
        <x:v>运行环境要求</x:v>
      </x:c>
      <x:c r="G28" t="str">
        <x:v>不适用</x:v>
      </x:c>
      <x:c r="H28" t="str">
        <x:v>不适用</x:v>
      </x:c>
      <x:c r="I28" t="str">
        <x:v>是</x:v>
      </x:c>
      <x:c r="J28" t="str">
        <x:v>运行环境要求通常可从项目说明和环境文件核验</x:v>
      </x:c>
      <x:c r="K28" t="str">
        <x:v>事实编码与产品机会推断分列保存</x:v>
      </x:c>
      <x:c r="L28" t="str">
        <x:v>否</x:v>
      </x:c>
      <x:c r="M28"/>
      <x:c r="N28" t="str">
        <x:v>提前信息需求</x:v>
      </x:c>
      <x:c r="O28" t="str">
        <x:v>不适用</x:v>
      </x:c>
      <x:c r="P28" t="str">
        <x:v>下载与环境</x:v>
      </x:c>
      <x:c r="Q28" t="str">
        <x:v>准备度卡：环境版本与依赖要求</x:v>
      </x:c>
      <x:c r="R28" t="str">
        <x:v>是</x:v>
      </x:c>
      <x:c r="S28"/>
      <x:c r="T28"/>
      <x:c r="U28"/>
      <x:c r="V28"/>
      <x:c r="W28"/>
      <x:c r="X28"/>
      <x:c r="Y28"/>
      <x:c r="Z28" s="199"/>
      <x:c r="AA28" s="199"/>
      <x:c r="AB28" s="199"/>
    </x:row>
    <x:row r="29" ht="52" customHeight="1">
      <x:c r="A29" t="str">
        <x:v>OT-028</x:v>
      </x:c>
      <x:c r="B29" t="str">
        <x:v>F-004</x:v>
      </x:c>
      <x:c r="C29" t="str">
        <x:v>Q17_希望提前知道的信息</x:v>
      </x:c>
      <x:c r="D29" t="str">
        <x:v>更好用的ai</x:v>
      </x:c>
      <x:c r="E29" t="str">
        <x:v>替代方案不足</x:v>
      </x:c>
      <x:c r="F29" t="str">
        <x:v>更有效的AI辅助工具</x:v>
      </x:c>
      <x:c r="G29" t="str">
        <x:v>不适用</x:v>
      </x:c>
      <x:c r="H29" t="str">
        <x:v>不适用</x:v>
      </x:c>
      <x:c r="I29" t="str">
        <x:v>未知</x:v>
      </x:c>
      <x:c r="J29" t="str">
        <x:v>原话仅表达希望有更好用的AI，未说明具体能力、确认阶段或可核验对象</x:v>
      </x:c>
      <x:c r="K29" t="str">
        <x:v>事实编码与产品机会推断分列保存</x:v>
      </x:c>
      <x:c r="L29" t="str">
        <x:v>是</x:v>
      </x:c>
      <x:c r="M29" t="str">
        <x:v>希望确认阶段；可提前核验性</x:v>
      </x:c>
      <x:c r="N29" t="str">
        <x:v>提前信息需求</x:v>
      </x:c>
      <x:c r="O29" t="str">
        <x:v>不适用</x:v>
      </x:c>
      <x:c r="P29" t="str">
        <x:v>未知</x:v>
      </x:c>
      <x:c r="Q29" t="str">
        <x:v>工具辅助入口或能力说明（推断）</x:v>
      </x:c>
      <x:c r="R29" t="str">
        <x:v>是</x:v>
      </x:c>
      <x:c r="S29"/>
      <x:c r="T29"/>
      <x:c r="U29"/>
      <x:c r="V29"/>
      <x:c r="W29"/>
      <x:c r="X29"/>
      <x:c r="Y29"/>
      <x:c r="Z29" s="199"/>
      <x:c r="AA29" s="199"/>
      <x:c r="AB29" s="199"/>
    </x:row>
    <x:row r="30" ht="52" customHeight="1">
      <x:c r="A30" t="str">
        <x:v>OT-029</x:v>
      </x:c>
      <x:c r="B30" t="str">
        <x:v>F-011</x:v>
      </x:c>
      <x:c r="C30" t="str">
        <x:v>Q17_希望提前知道的信息</x:v>
      </x:c>
      <x:c r="D30" t="str">
        <x:v>数据集是否可用</x:v>
      </x:c>
      <x:c r="E30" t="str">
        <x:v>数据与路径</x:v>
      </x:c>
      <x:c r="F30" t="str">
        <x:v>数据集是否可获得</x:v>
      </x:c>
      <x:c r="G30" t="str">
        <x:v>不适用</x:v>
      </x:c>
      <x:c r="H30" t="str">
        <x:v>不适用</x:v>
      </x:c>
      <x:c r="I30" t="str">
        <x:v>是</x:v>
      </x:c>
      <x:c r="J30" t="str">
        <x:v>数据集是否可获得可通过链接、权限和访问条件预先核验</x:v>
      </x:c>
      <x:c r="K30" t="str">
        <x:v>事实编码与产品机会推断分列保存</x:v>
      </x:c>
      <x:c r="L30" t="str">
        <x:v>否</x:v>
      </x:c>
      <x:c r="M30"/>
      <x:c r="N30" t="str">
        <x:v>提前信息需求</x:v>
      </x:c>
      <x:c r="O30" t="str">
        <x:v>不适用</x:v>
      </x:c>
      <x:c r="P30" t="str">
        <x:v>复现前判断</x:v>
      </x:c>
      <x:c r="Q30" t="str">
        <x:v>准备度卡：数据可获得性</x:v>
      </x:c>
      <x:c r="R30" t="str">
        <x:v>是</x:v>
      </x:c>
      <x:c r="S30"/>
      <x:c r="T30"/>
      <x:c r="U30"/>
      <x:c r="V30"/>
      <x:c r="W30"/>
      <x:c r="X30"/>
      <x:c r="Y30"/>
      <x:c r="Z30" s="199"/>
      <x:c r="AA30" s="199"/>
      <x:c r="AB30" s="199"/>
    </x:row>
    <x:row r="31" ht="52" customHeight="1">
      <x:c r="A31" t="str">
        <x:v>OT-030</x:v>
      </x:c>
      <x:c r="B31" t="str">
        <x:v>F-011</x:v>
      </x:c>
      <x:c r="C31" t="str">
        <x:v>Q17_希望提前知道的信息</x:v>
      </x:c>
      <x:c r="D31" t="str">
        <x:v>数据集是否规范</x:v>
      </x:c>
      <x:c r="E31" t="str">
        <x:v>数据与路径</x:v>
      </x:c>
      <x:c r="F31" t="str">
        <x:v>数据集规范性</x:v>
      </x:c>
      <x:c r="G31" t="str">
        <x:v>不适用</x:v>
      </x:c>
      <x:c r="H31" t="str">
        <x:v>不适用</x:v>
      </x:c>
      <x:c r="I31" t="str">
        <x:v>部分</x:v>
      </x:c>
      <x:c r="J31" t="str">
        <x:v>材料可说明格式和规范，但实际数据质量可能仍需下载后检查</x:v>
      </x:c>
      <x:c r="K31" t="str">
        <x:v>事实编码与产品机会推断分列保存</x:v>
      </x:c>
      <x:c r="L31" t="str">
        <x:v>否</x:v>
      </x:c>
      <x:c r="M31"/>
      <x:c r="N31" t="str">
        <x:v>提前信息需求</x:v>
      </x:c>
      <x:c r="O31" t="str">
        <x:v>不适用</x:v>
      </x:c>
      <x:c r="P31" t="str">
        <x:v>下载与环境</x:v>
      </x:c>
      <x:c r="Q31" t="str">
        <x:v>准备度卡：数据格式与质量检查项</x:v>
      </x:c>
      <x:c r="R31" t="str">
        <x:v>是</x:v>
      </x:c>
      <x:c r="S31"/>
      <x:c r="T31"/>
      <x:c r="U31"/>
      <x:c r="V31"/>
      <x:c r="W31"/>
      <x:c r="X31"/>
      <x:c r="Y31"/>
      <x:c r="Z31" s="199"/>
      <x:c r="AA31" s="199"/>
      <x:c r="AB31" s="199"/>
    </x:row>
    <x:row r="32" ht="52" customHeight="1">
      <x:c r="A32" t="str">
        <x:v>OT-031</x:v>
      </x:c>
      <x:c r="B32" t="str">
        <x:v>F-011</x:v>
      </x:c>
      <x:c r="C32" t="str">
        <x:v>Q17_希望提前知道的信息</x:v>
      </x:c>
      <x:c r="D32" t="str">
        <x:v>复现结果是否能与论文展示结果接近</x:v>
      </x:c>
      <x:c r="E32" t="str">
        <x:v>评测对齐</x:v>
      </x:c>
      <x:c r="F32" t="str">
        <x:v>目标结果可达性与论文对齐</x:v>
      </x:c>
      <x:c r="G32" t="str">
        <x:v>不适用</x:v>
      </x:c>
      <x:c r="H32" t="str">
        <x:v>不适用</x:v>
      </x:c>
      <x:c r="I32" t="str">
        <x:v>部分</x:v>
      </x:c>
      <x:c r="J32" t="str">
        <x:v>指标口径和目标值可预先核验，但结果是否接近仍需实际运行和评测</x:v>
      </x:c>
      <x:c r="K32" t="str">
        <x:v>事实编码与产品机会推断分列保存</x:v>
      </x:c>
      <x:c r="L32" t="str">
        <x:v>否</x:v>
      </x:c>
      <x:c r="M32"/>
      <x:c r="N32" t="str">
        <x:v>提前信息需求</x:v>
      </x:c>
      <x:c r="O32" t="str">
        <x:v>不适用</x:v>
      </x:c>
      <x:c r="P32" t="str">
        <x:v>评测前</x:v>
      </x:c>
      <x:c r="Q32" t="str">
        <x:v>准备度卡：评测口径与目标结果</x:v>
      </x:c>
      <x:c r="R32" t="str">
        <x:v>是</x:v>
      </x:c>
      <x:c r="S32"/>
      <x:c r="T32"/>
      <x:c r="U32"/>
      <x:c r="V32"/>
      <x:c r="W32"/>
      <x:c r="X32"/>
      <x:c r="Y32"/>
      <x:c r="Z32" s="199"/>
      <x:c r="AA32" s="199"/>
      <x:c r="AB32" s="199"/>
    </x:row>
    <x:row r="33" ht="52" customHeight="1">
      <x:c r="A33" t="str">
        <x:v>OT-032</x:v>
      </x:c>
      <x:c r="B33" t="str">
        <x:v>F-012</x:v>
      </x:c>
      <x:c r="C33" t="str">
        <x:v>Q17_希望提前知道的信息</x:v>
      </x:c>
      <x:c r="D33" t="str">
        <x:v>代码实现思路</x:v>
      </x:c>
      <x:c r="E33" t="str">
        <x:v>资产完整性</x:v>
      </x:c>
      <x:c r="F33" t="str">
        <x:v>代码实现思路</x:v>
      </x:c>
      <x:c r="G33" t="str">
        <x:v>不适用</x:v>
      </x:c>
      <x:c r="H33" t="str">
        <x:v>不适用</x:v>
      </x:c>
      <x:c r="I33" t="str">
        <x:v>是</x:v>
      </x:c>
      <x:c r="J33" t="str">
        <x:v>实现思路可通过源码、文档或方法说明在运行前核验</x:v>
      </x:c>
      <x:c r="K33" t="str">
        <x:v>事实编码与产品机会推断分列保存</x:v>
      </x:c>
      <x:c r="L33" t="str">
        <x:v>否</x:v>
      </x:c>
      <x:c r="M33"/>
      <x:c r="N33" t="str">
        <x:v>提前信息需求</x:v>
      </x:c>
      <x:c r="O33" t="str">
        <x:v>不适用</x:v>
      </x:c>
      <x:c r="P33" t="str">
        <x:v>复现前判断</x:v>
      </x:c>
      <x:c r="Q33" t="str">
        <x:v>准备度卡：实现流程说明</x:v>
      </x:c>
      <x:c r="R33" t="str">
        <x:v>是</x:v>
      </x:c>
      <x:c r="S33"/>
      <x:c r="T33"/>
      <x:c r="U33"/>
      <x:c r="V33"/>
      <x:c r="W33"/>
      <x:c r="X33"/>
      <x:c r="Y33"/>
      <x:c r="Z33" s="199"/>
      <x:c r="AA33" s="199"/>
      <x:c r="AB33" s="199"/>
    </x:row>
    <x:row r="34" ht="52" customHeight="1">
      <x:c r="A34" t="str">
        <x:v>OT-033</x:v>
      </x:c>
      <x:c r="B34" t="str">
        <x:v>F-015</x:v>
      </x:c>
      <x:c r="C34" t="str">
        <x:v>Q17_希望提前知道的信息</x:v>
      </x:c>
      <x:c r="D34" t="str">
        <x:v>数据集有多大</x:v>
      </x:c>
      <x:c r="E34" t="str">
        <x:v>数据与路径</x:v>
      </x:c>
      <x:c r="F34" t="str">
        <x:v>数据集规模</x:v>
      </x:c>
      <x:c r="G34" t="str">
        <x:v>不适用</x:v>
      </x:c>
      <x:c r="H34" t="str">
        <x:v>不适用</x:v>
      </x:c>
      <x:c r="I34" t="str">
        <x:v>是</x:v>
      </x:c>
      <x:c r="J34" t="str">
        <x:v>数据集规模通常可从数据说明或下载清单预先核验</x:v>
      </x:c>
      <x:c r="K34" t="str">
        <x:v>事实编码与产品机会推断分列保存</x:v>
      </x:c>
      <x:c r="L34" t="str">
        <x:v>否</x:v>
      </x:c>
      <x:c r="M34"/>
      <x:c r="N34" t="str">
        <x:v>提前信息需求</x:v>
      </x:c>
      <x:c r="O34" t="str">
        <x:v>不适用</x:v>
      </x:c>
      <x:c r="P34" t="str">
        <x:v>复现前判断</x:v>
      </x:c>
      <x:c r="Q34" t="str">
        <x:v>准备度卡：数据规模</x:v>
      </x:c>
      <x:c r="R34" t="str">
        <x:v>是</x:v>
      </x:c>
      <x:c r="S34"/>
      <x:c r="T34"/>
      <x:c r="U34"/>
      <x:c r="V34"/>
      <x:c r="W34"/>
      <x:c r="X34"/>
      <x:c r="Y34"/>
      <x:c r="Z34" s="199"/>
      <x:c r="AA34" s="199"/>
      <x:c r="AB34" s="199"/>
    </x:row>
    <x:row r="35" ht="52" customHeight="1">
      <x:c r="A35" t="str">
        <x:v>OT-034</x:v>
      </x:c>
      <x:c r="B35" t="str">
        <x:v>F-015</x:v>
      </x:c>
      <x:c r="C35" t="str">
        <x:v>Q17_希望提前知道的信息</x:v>
      </x:c>
      <x:c r="D35" t="str">
        <x:v>预处理和实验运行时间大概要多久</x:v>
      </x:c>
      <x:c r="E35" t="str">
        <x:v>算力适配</x:v>
      </x:c>
      <x:c r="F35" t="str">
        <x:v>预计预处理与实验运行时间</x:v>
      </x:c>
      <x:c r="G35" t="str">
        <x:v>不适用</x:v>
      </x:c>
      <x:c r="H35" t="str">
        <x:v>不适用</x:v>
      </x:c>
      <x:c r="I35" t="str">
        <x:v>部分</x:v>
      </x:c>
      <x:c r="J35" t="str">
        <x:v>可基于资源和样本规模估算，但实际时长仍需小规模运行确认</x:v>
      </x:c>
      <x:c r="K35" t="str">
        <x:v>事实编码与产品机会推断分列保存</x:v>
      </x:c>
      <x:c r="L35" t="str">
        <x:v>否</x:v>
      </x:c>
      <x:c r="M35"/>
      <x:c r="N35" t="str">
        <x:v>提前信息需求</x:v>
      </x:c>
      <x:c r="O35" t="str">
        <x:v>不适用</x:v>
      </x:c>
      <x:c r="P35" t="str">
        <x:v>运行前</x:v>
      </x:c>
      <x:c r="Q35" t="str">
        <x:v>准备度卡：预计运行时间与资源估算</x:v>
      </x:c>
      <x:c r="R35" t="str">
        <x:v>是</x:v>
      </x:c>
      <x:c r="S35"/>
      <x:c r="T35"/>
      <x:c r="U35"/>
      <x:c r="V35"/>
      <x:c r="W35"/>
      <x:c r="X35"/>
      <x:c r="Y35"/>
      <x:c r="Z35" s="199"/>
      <x:c r="AA35" s="199"/>
      <x:c r="AB35" s="199"/>
    </x:row>
    <x:row r="36" ht="52" customHeight="1">
      <x:c r="A36" t="str">
        <x:v>OT-035</x:v>
      </x:c>
      <x:c r="B36" t="str">
        <x:v>F-020</x:v>
      </x:c>
      <x:c r="C36" t="str">
        <x:v>Q17_希望提前知道的信息</x:v>
      </x:c>
      <x:c r="D36" t="str">
        <x:v>环境配置信息</x:v>
      </x:c>
      <x:c r="E36" t="str">
        <x:v>环境兼容性</x:v>
      </x:c>
      <x:c r="F36" t="str">
        <x:v>环境配置要求</x:v>
      </x:c>
      <x:c r="G36" t="str">
        <x:v>不适用</x:v>
      </x:c>
      <x:c r="H36" t="str">
        <x:v>不适用</x:v>
      </x:c>
      <x:c r="I36" t="str">
        <x:v>是</x:v>
      </x:c>
      <x:c r="J36" t="str">
        <x:v>环境配置要求通常可从依赖文件和项目说明预先核验</x:v>
      </x:c>
      <x:c r="K36" t="str">
        <x:v>事实编码与产品机会推断分列保存</x:v>
      </x:c>
      <x:c r="L36" t="str">
        <x:v>否</x:v>
      </x:c>
      <x:c r="M36"/>
      <x:c r="N36" t="str">
        <x:v>提前信息需求</x:v>
      </x:c>
      <x:c r="O36" t="str">
        <x:v>不适用</x:v>
      </x:c>
      <x:c r="P36" t="str">
        <x:v>下载与环境</x:v>
      </x:c>
      <x:c r="Q36" t="str">
        <x:v>准备度卡：环境配置要求</x:v>
      </x:c>
      <x:c r="R36" t="str">
        <x:v>是</x:v>
      </x:c>
      <x:c r="S36"/>
      <x:c r="T36"/>
      <x:c r="U36"/>
      <x:c r="V36"/>
      <x:c r="W36"/>
      <x:c r="X36"/>
      <x:c r="Y36"/>
      <x:c r="Z36" s="199"/>
      <x:c r="AA36" s="199"/>
      <x:c r="AB36" s="199"/>
    </x:row>
    <x:row r="37" ht="52" customHeight="1">
      <x:c r="A37" t="str">
        <x:v>OT-036</x:v>
      </x:c>
      <x:c r="B37" t="str">
        <x:v>F-021</x:v>
      </x:c>
      <x:c r="C37" t="str">
        <x:v>Q17_希望提前知道的信息</x:v>
      </x:c>
      <x:c r="D37" t="str">
        <x:v>无</x:v>
      </x:c>
      <x:c r="E37" t="str">
        <x:v>不适用</x:v>
      </x:c>
      <x:c r="F37" t="str">
        <x:v>未提出需求</x:v>
      </x:c>
      <x:c r="G37" t="str">
        <x:v>不适用</x:v>
      </x:c>
      <x:c r="H37" t="str">
        <x:v>不适用</x:v>
      </x:c>
      <x:c r="I37" t="str">
        <x:v>不适用</x:v>
      </x:c>
      <x:c r="J37" t="str">
        <x:v>原话明确回答“无”，不构成具体信息需求，因此无可核验对象</x:v>
      </x:c>
      <x:c r="K37" t="str">
        <x:v>记录性质：反例/未提出提前信息需求；是否计入实际信息需求：否</x:v>
      </x:c>
      <x:c r="L37" t="str">
        <x:v>否</x:v>
      </x:c>
      <x:c r="M37"/>
      <x:c r="N37" t="str">
        <x:v>提前信息需求</x:v>
      </x:c>
      <x:c r="O37" t="str">
        <x:v>不适用</x:v>
      </x:c>
      <x:c r="P37" t="str">
        <x:v>不适用</x:v>
      </x:c>
      <x:c r="Q37" t="str">
        <x:v>无（反例/未提出需求）</x:v>
      </x:c>
      <x:c r="R37" t="str">
        <x:v>否</x:v>
      </x:c>
      <x:c r="S37"/>
      <x:c r="T37"/>
      <x:c r="U37"/>
      <x:c r="V37"/>
      <x:c r="W37"/>
      <x:c r="X37"/>
      <x:c r="Y37"/>
      <x:c r="Z37" s="199"/>
      <x:c r="AA37" s="199"/>
      <x:c r="AB37" s="199"/>
    </x:row>
    <x:row r="38" ht="52" customHeight="1">
      <x:c r="A38" t="str">
        <x:v>OT-037</x:v>
      </x:c>
      <x:c r="B38" t="str">
        <x:v>F-001</x:v>
      </x:c>
      <x:c r="C38" t="str">
        <x:v>Q17_项目或任务_原始</x:v>
      </x:c>
      <x:c r="D38" t="str">
        <x:v>深度防伪检测</x:v>
      </x:c>
      <x:c r="E38" t="str">
        <x:v>不适用</x:v>
      </x:c>
      <x:c r="F38" t="str">
        <x:v>项目背景</x:v>
      </x:c>
      <x:c r="G38" t="str">
        <x:v>不适用</x:v>
      </x:c>
      <x:c r="H38" t="str">
        <x:v>不适用</x:v>
      </x:c>
      <x:c r="I38" t="str">
        <x:v>不适用</x:v>
      </x:c>
      <x:c r="J38" t="str">
        <x:v>依据项目或任务原话进行背景编码；未使用项目名称外部检索或推断</x:v>
      </x:c>
      <x:c r="K38" t="str">
        <x:v>项目背景与痛点主题分列保存</x:v>
      </x:c>
      <x:c r="L38" t="str">
        <x:v>否</x:v>
      </x:c>
      <x:c r="M38"/>
      <x:c r="N38" t="str">
        <x:v>项目背景</x:v>
      </x:c>
      <x:c r="O38" t="str">
        <x:v>不适用</x:v>
      </x:c>
      <x:c r="P38"/>
      <x:c r="Q38"/>
      <x:c r="R38"/>
      <x:c r="S38" t="str">
        <x:v>无法判断</x:v>
      </x:c>
      <x:c r="T38" t="str">
        <x:v>开展深度防伪检测</x:v>
      </x:c>
      <x:c r="U38" t="str">
        <x:v>未说明</x:v>
      </x:c>
      <x:c r="V38" t="str">
        <x:v>未知</x:v>
      </x:c>
      <x:c r="W38" t="str">
        <x:v>不足</x:v>
      </x:c>
      <x:c r="X38" t="str">
        <x:v>仅说明技术方向，未交代具体任务或运行目标；正式汇总改用任务场景与任务动作两个分类轴</x:v>
      </x:c>
      <x:c r="Y38" t="str">
        <x:v>否</x:v>
      </x:c>
      <x:c r="Z38" s="199" t="str">
        <x:v>未说明</x:v>
      </x:c>
      <x:c r="AA38" s="199" t="str">
        <x:v>未说明</x:v>
      </x:c>
      <x:c r="AB38" s="199" t="str">
        <x:v>否</x:v>
      </x:c>
    </x:row>
    <x:row r="39" ht="52" customHeight="1">
      <x:c r="A39" t="str">
        <x:v>OT-038</x:v>
      </x:c>
      <x:c r="B39" t="str">
        <x:v>F-002</x:v>
      </x:c>
      <x:c r="C39" t="str">
        <x:v>Q17_项目或任务_原始</x:v>
      </x:c>
      <x:c r="D39" t="str">
        <x:v>论文项目</x:v>
      </x:c>
      <x:c r="E39" t="str">
        <x:v>不适用</x:v>
      </x:c>
      <x:c r="F39" t="str">
        <x:v>项目背景</x:v>
      </x:c>
      <x:c r="G39" t="str">
        <x:v>不适用</x:v>
      </x:c>
      <x:c r="H39" t="str">
        <x:v>不适用</x:v>
      </x:c>
      <x:c r="I39" t="str">
        <x:v>不适用</x:v>
      </x:c>
      <x:c r="J39" t="str">
        <x:v>依据项目或任务原话进行背景编码；未使用项目名称外部检索或推断</x:v>
      </x:c>
      <x:c r="K39" t="str">
        <x:v>项目背景与痛点主题分列保存</x:v>
      </x:c>
      <x:c r="L39" t="str">
        <x:v>否</x:v>
      </x:c>
      <x:c r="M39"/>
      <x:c r="N39" t="str">
        <x:v>项目背景</x:v>
      </x:c>
      <x:c r="O39" t="str">
        <x:v>不适用</x:v>
      </x:c>
      <x:c r="P39"/>
      <x:c r="Q39"/>
      <x:c r="R39"/>
      <x:c r="S39" t="str">
        <x:v>课程或科研任务</x:v>
      </x:c>
      <x:c r="T39" t="str">
        <x:v>完成论文相关项目</x:v>
      </x:c>
      <x:c r="U39" t="str">
        <x:v>论文</x:v>
      </x:c>
      <x:c r="V39" t="str">
        <x:v>未知</x:v>
      </x:c>
      <x:c r="W39" t="str">
        <x:v>基本完整</x:v>
      </x:c>
      <x:c r="X39" t="str">
        <x:v>能够判断为论文相关任务，但具体实验目标和运行对象未说明；正式汇总改用任务场景与任务动作两个分类轴</x:v>
      </x:c>
      <x:c r="Y39" t="str">
        <x:v>否</x:v>
      </x:c>
      <x:c r="Z39" s="199" t="str">
        <x:v>科研或学位课题</x:v>
      </x:c>
      <x:c r="AA39" s="199" t="str">
        <x:v>未说明</x:v>
      </x:c>
      <x:c r="AB39" s="199" t="str">
        <x:v>否</x:v>
      </x:c>
    </x:row>
    <x:row r="40" ht="52" customHeight="1">
      <x:c r="A40" t="str">
        <x:v>OT-039</x:v>
      </x:c>
      <x:c r="B40" t="str">
        <x:v>F-003</x:v>
      </x:c>
      <x:c r="C40" t="str">
        <x:v>Q17_项目或任务_原始</x:v>
      </x:c>
      <x:c r="D40" t="str">
        <x:v>视觉任务</x:v>
      </x:c>
      <x:c r="E40" t="str">
        <x:v>不适用</x:v>
      </x:c>
      <x:c r="F40" t="str">
        <x:v>项目背景</x:v>
      </x:c>
      <x:c r="G40" t="str">
        <x:v>不适用</x:v>
      </x:c>
      <x:c r="H40" t="str">
        <x:v>不适用</x:v>
      </x:c>
      <x:c r="I40" t="str">
        <x:v>不适用</x:v>
      </x:c>
      <x:c r="J40" t="str">
        <x:v>依据项目或任务原话进行背景编码；未使用项目名称外部检索或推断</x:v>
      </x:c>
      <x:c r="K40" t="str">
        <x:v>项目背景与痛点主题分列保存</x:v>
      </x:c>
      <x:c r="L40" t="str">
        <x:v>否</x:v>
      </x:c>
      <x:c r="M40"/>
      <x:c r="N40" t="str">
        <x:v>项目背景</x:v>
      </x:c>
      <x:c r="O40" t="str">
        <x:v>不适用</x:v>
      </x:c>
      <x:c r="P40"/>
      <x:c r="Q40"/>
      <x:c r="R40"/>
      <x:c r="S40" t="str">
        <x:v>无法判断</x:v>
      </x:c>
      <x:c r="T40" t="str">
        <x:v>完成视觉相关任务</x:v>
      </x:c>
      <x:c r="U40" t="str">
        <x:v>未说明</x:v>
      </x:c>
      <x:c r="V40" t="str">
        <x:v>未知</x:v>
      </x:c>
      <x:c r="W40" t="str">
        <x:v>不足</x:v>
      </x:c>
      <x:c r="X40" t="str">
        <x:v>仅有宽泛任务领域，无法判断具体任务类型；正式汇总改用任务场景与任务动作两个分类轴</x:v>
      </x:c>
      <x:c r="Y40" t="str">
        <x:v>否</x:v>
      </x:c>
      <x:c r="Z40" s="199" t="str">
        <x:v>未说明</x:v>
      </x:c>
      <x:c r="AA40" s="199" t="str">
        <x:v>未说明</x:v>
      </x:c>
      <x:c r="AB40" s="199" t="str">
        <x:v>否</x:v>
      </x:c>
    </x:row>
    <x:row r="41" ht="52" customHeight="1">
      <x:c r="A41" t="str">
        <x:v>OT-040</x:v>
      </x:c>
      <x:c r="B41" t="str">
        <x:v>F-004</x:v>
      </x:c>
      <x:c r="C41" t="str">
        <x:v>Q17_项目或任务_原始</x:v>
      </x:c>
      <x:c r="D41" t="str">
        <x:v>在医学数据集上使用AI训练</x:v>
      </x:c>
      <x:c r="E41" t="str">
        <x:v>不适用</x:v>
      </x:c>
      <x:c r="F41" t="str">
        <x:v>项目背景</x:v>
      </x:c>
      <x:c r="G41" t="str">
        <x:v>不适用</x:v>
      </x:c>
      <x:c r="H41" t="str">
        <x:v>不适用</x:v>
      </x:c>
      <x:c r="I41" t="str">
        <x:v>不适用</x:v>
      </x:c>
      <x:c r="J41" t="str">
        <x:v>依据项目或任务原话进行背景编码；未使用项目名称外部检索或推断</x:v>
      </x:c>
      <x:c r="K41" t="str">
        <x:v>项目背景与痛点主题分列保存</x:v>
      </x:c>
      <x:c r="L41" t="str">
        <x:v>否</x:v>
      </x:c>
      <x:c r="M41"/>
      <x:c r="N41" t="str">
        <x:v>项目背景</x:v>
      </x:c>
      <x:c r="O41" t="str">
        <x:v>不适用</x:v>
      </x:c>
      <x:c r="P41"/>
      <x:c r="Q41"/>
      <x:c r="R41"/>
      <x:c r="S41" t="str">
        <x:v>模型训练</x:v>
      </x:c>
      <x:c r="T41" t="str">
        <x:v>在医学数据集上训练AI模型</x:v>
      </x:c>
      <x:c r="U41" t="str">
        <x:v>模型；数据集</x:v>
      </x:c>
      <x:c r="V41" t="str">
        <x:v>是</x:v>
      </x:c>
      <x:c r="W41" t="str">
        <x:v>完整</x:v>
      </x:c>
      <x:c r="X41" t="str">
        <x:v>项目、训练任务和技术对象均可从原话判断；正式汇总改用任务场景与任务动作两个分类轴</x:v>
      </x:c>
      <x:c r="Y41" t="str">
        <x:v>否</x:v>
      </x:c>
      <x:c r="Z41" s="199" t="str">
        <x:v>未说明</x:v>
      </x:c>
      <x:c r="AA41" s="199" t="str">
        <x:v>模型训练</x:v>
      </x:c>
      <x:c r="AB41" s="199" t="str">
        <x:v>是</x:v>
      </x:c>
    </x:row>
    <x:row r="42" ht="52" customHeight="1">
      <x:c r="A42" t="str">
        <x:v>OT-041</x:v>
      </x:c>
      <x:c r="B42" t="str">
        <x:v>F-009</x:v>
      </x:c>
      <x:c r="C42" t="str">
        <x:v>Q17_项目或任务_原始</x:v>
      </x:c>
      <x:c r="D42" t="str">
        <x:v>跟踪</x:v>
      </x:c>
      <x:c r="E42" t="str">
        <x:v>不适用</x:v>
      </x:c>
      <x:c r="F42" t="str">
        <x:v>项目背景</x:v>
      </x:c>
      <x:c r="G42" t="str">
        <x:v>不适用</x:v>
      </x:c>
      <x:c r="H42" t="str">
        <x:v>不适用</x:v>
      </x:c>
      <x:c r="I42" t="str">
        <x:v>不适用</x:v>
      </x:c>
      <x:c r="J42" t="str">
        <x:v>依据项目或任务原话进行背景编码；未使用项目名称外部检索或推断</x:v>
      </x:c>
      <x:c r="K42" t="str">
        <x:v>项目背景与痛点主题分列保存</x:v>
      </x:c>
      <x:c r="L42" t="str">
        <x:v>否</x:v>
      </x:c>
      <x:c r="M42"/>
      <x:c r="N42" t="str">
        <x:v>项目背景</x:v>
      </x:c>
      <x:c r="O42" t="str">
        <x:v>不适用</x:v>
      </x:c>
      <x:c r="P42"/>
      <x:c r="Q42"/>
      <x:c r="R42"/>
      <x:c r="S42" t="str">
        <x:v>无法判断</x:v>
      </x:c>
      <x:c r="T42" t="str">
        <x:v>跟踪</x:v>
      </x:c>
      <x:c r="U42" t="str">
        <x:v>未说明</x:v>
      </x:c>
      <x:c r="V42" t="str">
        <x:v>未知</x:v>
      </x:c>
      <x:c r="W42" t="str">
        <x:v>不足</x:v>
      </x:c>
      <x:c r="X42" t="str">
        <x:v>原话过短，无法判断跟踪对象、任务或目标；正式汇总改用任务场景与任务动作两个分类轴</x:v>
      </x:c>
      <x:c r="Y42" t="str">
        <x:v>否</x:v>
      </x:c>
      <x:c r="Z42" s="199" t="str">
        <x:v>未说明</x:v>
      </x:c>
      <x:c r="AA42" s="199" t="str">
        <x:v>未说明</x:v>
      </x:c>
      <x:c r="AB42" s="199" t="str">
        <x:v>否</x:v>
      </x:c>
    </x:row>
    <x:row r="43" ht="52" customHeight="1">
      <x:c r="A43" t="str">
        <x:v>OT-042</x:v>
      </x:c>
      <x:c r="B43" t="str">
        <x:v>F-011</x:v>
      </x:c>
      <x:c r="C43" t="str">
        <x:v>Q17_项目或任务_原始</x:v>
      </x:c>
      <x:c r="D43" t="str">
        <x:v>计算机视觉相关实验</x:v>
      </x:c>
      <x:c r="E43" t="str">
        <x:v>不适用</x:v>
      </x:c>
      <x:c r="F43" t="str">
        <x:v>项目背景</x:v>
      </x:c>
      <x:c r="G43" t="str">
        <x:v>不适用</x:v>
      </x:c>
      <x:c r="H43" t="str">
        <x:v>不适用</x:v>
      </x:c>
      <x:c r="I43" t="str">
        <x:v>不适用</x:v>
      </x:c>
      <x:c r="J43" t="str">
        <x:v>依据项目或任务原话进行背景编码；未使用项目名称外部检索或推断</x:v>
      </x:c>
      <x:c r="K43" t="str">
        <x:v>项目背景与痛点主题分列保存</x:v>
      </x:c>
      <x:c r="L43" t="str">
        <x:v>否</x:v>
      </x:c>
      <x:c r="M43"/>
      <x:c r="N43" t="str">
        <x:v>项目背景</x:v>
      </x:c>
      <x:c r="O43" t="str">
        <x:v>不适用</x:v>
      </x:c>
      <x:c r="P43"/>
      <x:c r="Q43"/>
      <x:c r="R43"/>
      <x:c r="S43" t="str">
        <x:v>课程或科研任务</x:v>
      </x:c>
      <x:c r="T43" t="str">
        <x:v>开展计算机视觉实验</x:v>
      </x:c>
      <x:c r="U43" t="str">
        <x:v>未说明</x:v>
      </x:c>
      <x:c r="V43" t="str">
        <x:v>是</x:v>
      </x:c>
      <x:c r="W43" t="str">
        <x:v>基本完整</x:v>
      </x:c>
      <x:c r="X43" t="str">
        <x:v>可判断为实验任务并涉及实际运行，但具体对象和目标未说明；正式汇总改用任务场景与任务动作两个分类轴</x:v>
      </x:c>
      <x:c r="Y43" t="str">
        <x:v>否</x:v>
      </x:c>
      <x:c r="Z43" s="199" t="str">
        <x:v>未说明</x:v>
      </x:c>
      <x:c r="AA43" s="199" t="str">
        <x:v>其他</x:v>
      </x:c>
      <x:c r="AB43" s="199" t="str">
        <x:v>是</x:v>
      </x:c>
    </x:row>
    <x:row r="44" ht="52" customHeight="1">
      <x:c r="A44" t="str">
        <x:v>OT-043</x:v>
      </x:c>
      <x:c r="B44" t="str">
        <x:v>F-012</x:v>
      </x:c>
      <x:c r="C44" t="str">
        <x:v>Q17_项目或任务_原始</x:v>
      </x:c>
      <x:c r="D44" t="str">
        <x:v>实验对比</x:v>
      </x:c>
      <x:c r="E44" t="str">
        <x:v>不适用</x:v>
      </x:c>
      <x:c r="F44" t="str">
        <x:v>项目背景</x:v>
      </x:c>
      <x:c r="G44" t="str">
        <x:v>不适用</x:v>
      </x:c>
      <x:c r="H44" t="str">
        <x:v>不适用</x:v>
      </x:c>
      <x:c r="I44" t="str">
        <x:v>不适用</x:v>
      </x:c>
      <x:c r="J44" t="str">
        <x:v>依据项目或任务原话进行背景编码；未使用项目名称外部检索或推断</x:v>
      </x:c>
      <x:c r="K44" t="str">
        <x:v>项目背景与痛点主题分列保存</x:v>
      </x:c>
      <x:c r="L44" t="str">
        <x:v>否</x:v>
      </x:c>
      <x:c r="M44"/>
      <x:c r="N44" t="str">
        <x:v>项目背景</x:v>
      </x:c>
      <x:c r="O44" t="str">
        <x:v>不适用</x:v>
      </x:c>
      <x:c r="P44"/>
      <x:c r="Q44"/>
      <x:c r="R44"/>
      <x:c r="S44" t="str">
        <x:v>课程或科研任务</x:v>
      </x:c>
      <x:c r="T44" t="str">
        <x:v>进行实验对比</x:v>
      </x:c>
      <x:c r="U44" t="str">
        <x:v>未说明</x:v>
      </x:c>
      <x:c r="V44" t="str">
        <x:v>是</x:v>
      </x:c>
      <x:c r="W44" t="str">
        <x:v>基本完整</x:v>
      </x:c>
      <x:c r="X44" t="str">
        <x:v>可判断为对比实验并涉及实际运行，但技术对象未说明；正式汇总改用任务场景与任务动作两个分类轴</x:v>
      </x:c>
      <x:c r="Y44" t="str">
        <x:v>否</x:v>
      </x:c>
      <x:c r="Z44" s="199" t="str">
        <x:v>未说明</x:v>
      </x:c>
      <x:c r="AA44" s="199" t="str">
        <x:v>其他</x:v>
      </x:c>
      <x:c r="AB44" s="199" t="str">
        <x:v>是</x:v>
      </x:c>
    </x:row>
    <x:row r="45" ht="52" customHeight="1">
      <x:c r="A45" t="str">
        <x:v>OT-044</x:v>
      </x:c>
      <x:c r="B45" t="str">
        <x:v>F-014</x:v>
      </x:c>
      <x:c r="C45" t="str">
        <x:v>Q17_项目或任务_原始</x:v>
      </x:c>
      <x:c r="D45" t="str">
        <x:v>毕设 baseline</x:v>
      </x:c>
      <x:c r="E45" t="str">
        <x:v>不适用</x:v>
      </x:c>
      <x:c r="F45" t="str">
        <x:v>项目背景</x:v>
      </x:c>
      <x:c r="G45" t="str">
        <x:v>不适用</x:v>
      </x:c>
      <x:c r="H45" t="str">
        <x:v>不适用</x:v>
      </x:c>
      <x:c r="I45" t="str">
        <x:v>不适用</x:v>
      </x:c>
      <x:c r="J45" t="str">
        <x:v>依据项目或任务原话进行背景编码；未使用项目名称外部检索或推断</x:v>
      </x:c>
      <x:c r="K45" t="str">
        <x:v>项目背景与痛点主题分列保存</x:v>
      </x:c>
      <x:c r="L45" t="str">
        <x:v>否</x:v>
      </x:c>
      <x:c r="M45"/>
      <x:c r="N45" t="str">
        <x:v>项目背景</x:v>
      </x:c>
      <x:c r="O45" t="str">
        <x:v>不适用</x:v>
      </x:c>
      <x:c r="P45"/>
      <x:c r="Q45"/>
      <x:c r="R45"/>
      <x:c r="S45" t="str">
        <x:v>课程或科研任务</x:v>
      </x:c>
      <x:c r="T45" t="str">
        <x:v>完成毕业设计baseline</x:v>
      </x:c>
      <x:c r="U45" t="str">
        <x:v>未说明</x:v>
      </x:c>
      <x:c r="V45" t="str">
        <x:v>未知</x:v>
      </x:c>
      <x:c r="W45" t="str">
        <x:v>基本完整</x:v>
      </x:c>
      <x:c r="X45" t="str">
        <x:v>可判断为毕业设计相关任务，但是否已实际运行及技术对象未说明；正式汇总改用任务场景与任务动作两个分类轴</x:v>
      </x:c>
      <x:c r="Y45" t="str">
        <x:v>否</x:v>
      </x:c>
      <x:c r="Z45" s="199" t="str">
        <x:v>科研或学位课题</x:v>
      </x:c>
      <x:c r="AA45" s="199" t="str">
        <x:v>未说明</x:v>
      </x:c>
      <x:c r="AB45" s="199" t="str">
        <x:v>否</x:v>
      </x:c>
    </x:row>
    <x:row r="46" ht="52" customHeight="1">
      <x:c r="A46" t="str">
        <x:v>OT-045</x:v>
      </x:c>
      <x:c r="B46" t="str">
        <x:v>F-015</x:v>
      </x:c>
      <x:c r="C46" t="str">
        <x:v>Q17_项目或任务_原始</x:v>
      </x:c>
      <x:c r="D46" t="str">
        <x:v>多模态深度伪造检测</x:v>
      </x:c>
      <x:c r="E46" t="str">
        <x:v>不适用</x:v>
      </x:c>
      <x:c r="F46" t="str">
        <x:v>项目背景</x:v>
      </x:c>
      <x:c r="G46" t="str">
        <x:v>不适用</x:v>
      </x:c>
      <x:c r="H46" t="str">
        <x:v>不适用</x:v>
      </x:c>
      <x:c r="I46" t="str">
        <x:v>不适用</x:v>
      </x:c>
      <x:c r="J46" t="str">
        <x:v>依据项目或任务原话进行背景编码；未使用项目名称外部检索或推断</x:v>
      </x:c>
      <x:c r="K46" t="str">
        <x:v>项目背景与痛点主题分列保存</x:v>
      </x:c>
      <x:c r="L46" t="str">
        <x:v>否</x:v>
      </x:c>
      <x:c r="M46"/>
      <x:c r="N46" t="str">
        <x:v>项目背景</x:v>
      </x:c>
      <x:c r="O46" t="str">
        <x:v>不适用</x:v>
      </x:c>
      <x:c r="P46"/>
      <x:c r="Q46"/>
      <x:c r="R46"/>
      <x:c r="S46" t="str">
        <x:v>无法判断</x:v>
      </x:c>
      <x:c r="T46" t="str">
        <x:v>开展多模态深度伪造检测</x:v>
      </x:c>
      <x:c r="U46" t="str">
        <x:v>未说明</x:v>
      </x:c>
      <x:c r="V46" t="str">
        <x:v>未知</x:v>
      </x:c>
      <x:c r="W46" t="str">
        <x:v>不足</x:v>
      </x:c>
      <x:c r="X46" t="str">
        <x:v>仅说明技术方向与目标，未说明具体任务形态或运行对象；正式汇总改用任务场景与任务动作两个分类轴</x:v>
      </x:c>
      <x:c r="Y46" t="str">
        <x:v>否</x:v>
      </x:c>
      <x:c r="Z46" s="199" t="str">
        <x:v>未说明</x:v>
      </x:c>
      <x:c r="AA46" s="199" t="str">
        <x:v>未说明</x:v>
      </x:c>
      <x:c r="AB46" s="199" t="str">
        <x:v>否</x:v>
      </x:c>
    </x:row>
    <x:row r="47" ht="52" customHeight="1">
      <x:c r="A47" t="str">
        <x:v>OT-046</x:v>
      </x:c>
      <x:c r="B47" t="str">
        <x:v>F-020</x:v>
      </x:c>
      <x:c r="C47" t="str">
        <x:v>Q17_项目或任务_原始</x:v>
      </x:c>
      <x:c r="D47" t="str">
        <x:v>视觉项目</x:v>
      </x:c>
      <x:c r="E47" t="str">
        <x:v>不适用</x:v>
      </x:c>
      <x:c r="F47" t="str">
        <x:v>项目背景</x:v>
      </x:c>
      <x:c r="G47" t="str">
        <x:v>不适用</x:v>
      </x:c>
      <x:c r="H47" t="str">
        <x:v>不适用</x:v>
      </x:c>
      <x:c r="I47" t="str">
        <x:v>不适用</x:v>
      </x:c>
      <x:c r="J47" t="str">
        <x:v>依据项目或任务原话进行背景编码；未使用项目名称外部检索或推断</x:v>
      </x:c>
      <x:c r="K47" t="str">
        <x:v>项目背景与痛点主题分列保存</x:v>
      </x:c>
      <x:c r="L47" t="str">
        <x:v>否</x:v>
      </x:c>
      <x:c r="M47"/>
      <x:c r="N47" t="str">
        <x:v>项目背景</x:v>
      </x:c>
      <x:c r="O47" t="str">
        <x:v>不适用</x:v>
      </x:c>
      <x:c r="P47"/>
      <x:c r="Q47"/>
      <x:c r="R47"/>
      <x:c r="S47" t="str">
        <x:v>无法判断</x:v>
      </x:c>
      <x:c r="T47" t="str">
        <x:v>完成视觉相关项目</x:v>
      </x:c>
      <x:c r="U47" t="str">
        <x:v>未说明</x:v>
      </x:c>
      <x:c r="V47" t="str">
        <x:v>未知</x:v>
      </x:c>
      <x:c r="W47" t="str">
        <x:v>不足</x:v>
      </x:c>
      <x:c r="X47" t="str">
        <x:v>仅说明项目领域，无法判断具体任务和目标；正式汇总改用任务场景与任务动作两个分类轴</x:v>
      </x:c>
      <x:c r="Y47" t="str">
        <x:v>否</x:v>
      </x:c>
      <x:c r="Z47" s="199" t="str">
        <x:v>未说明</x:v>
      </x:c>
      <x:c r="AA47" s="199" t="str">
        <x:v>未说明</x:v>
      </x:c>
      <x:c r="AB47" s="199" t="str">
        <x:v>否</x:v>
      </x:c>
    </x:row>
    <x:row r="48" ht="52" customHeight="1">
      <x:c r="A48" t="str">
        <x:v>OT-047</x:v>
      </x:c>
      <x:c r="B48" t="str">
        <x:v>F-021</x:v>
      </x:c>
      <x:c r="C48" t="str">
        <x:v>Q17_项目或任务_原始</x:v>
      </x:c>
      <x:c r="D48" t="str">
        <x:v>无</x:v>
      </x:c>
      <x:c r="E48" t="str">
        <x:v>不适用</x:v>
      </x:c>
      <x:c r="F48" t="str">
        <x:v>项目背景</x:v>
      </x:c>
      <x:c r="G48" t="str">
        <x:v>不适用</x:v>
      </x:c>
      <x:c r="H48" t="str">
        <x:v>不适用</x:v>
      </x:c>
      <x:c r="I48" t="str">
        <x:v>不适用</x:v>
      </x:c>
      <x:c r="J48" t="str">
        <x:v>依据项目或任务原话进行背景编码；未使用项目名称外部检索或推断</x:v>
      </x:c>
      <x:c r="K48" t="str">
        <x:v>项目背景与痛点主题分列保存</x:v>
      </x:c>
      <x:c r="L48" t="str">
        <x:v>否</x:v>
      </x:c>
      <x:c r="M48"/>
      <x:c r="N48" t="str">
        <x:v>项目背景</x:v>
      </x:c>
      <x:c r="O48" t="str">
        <x:v>不适用</x:v>
      </x:c>
      <x:c r="P48"/>
      <x:c r="Q48"/>
      <x:c r="R48"/>
      <x:c r="S48" t="str">
        <x:v>无法判断</x:v>
      </x:c>
      <x:c r="T48" t="str">
        <x:v>未说明</x:v>
      </x:c>
      <x:c r="U48" t="str">
        <x:v>未说明</x:v>
      </x:c>
      <x:c r="V48" t="str">
        <x:v>未知</x:v>
      </x:c>
      <x:c r="W48" t="str">
        <x:v>不足</x:v>
      </x:c>
      <x:c r="X48" t="str">
        <x:v>记录性质：反例/未提供项目背景；正式汇总改用任务场景与任务动作两个分类轴</x:v>
      </x:c>
      <x:c r="Y48" t="str">
        <x:v>否</x:v>
      </x:c>
      <x:c r="Z48" s="199" t="str">
        <x:v>未说明</x:v>
      </x:c>
      <x:c r="AA48" s="199" t="str">
        <x:v>未说明</x:v>
      </x:c>
      <x:c r="AB48" s="199" t="str">
        <x:v>否</x:v>
      </x:c>
    </x:row>
  </x:sheetData>
  <x:pageMargins left="0.7" right="0.7" top="0.75" bottom="0.75" header="0.3" footer="0.3"/>
  <x:tableParts count="1">
    <x:tablePart xmlns:r="http://schemas.openxmlformats.org/officeDocument/2006/relationships" r:id="R576725edda564ad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8" hidden="0" customWidth="1"/>
    <x:col min="4" max="4" width="18" hidden="0" customWidth="1"/>
    <x:col min="5" max="5" width="22" hidden="0" customWidth="1"/>
    <x:col min="6" max="6" width="24" hidden="0" customWidth="1"/>
    <x:col min="7" max="7" width="56" hidden="0" customWidth="1"/>
    <x:col min="8" max="8" width="24" hidden="0" customWidth="1"/>
    <x:col min="9" max="9" width="38" hidden="0" customWidth="1"/>
    <x:col min="10" max="10" width="34" hidden="0" customWidth="1"/>
  </x:cols>
  <x:sheetData>
    <x:row r="1" ht="30" customHeight="1">
      <x:c r="A1" s="213" t="str">
        <x:v>Q17开放文本主题汇总（有效核心样本 N=20）</x:v>
      </x:c>
      <x:c r="B1" s="213"/>
      <x:c r="C1" s="213"/>
      <x:c r="D1" s="213"/>
      <x:c r="E1" s="213"/>
      <x:c r="F1" s="213"/>
      <x:c r="G1" s="213"/>
      <x:c r="H1" s="213"/>
      <x:c r="I1" s="213"/>
      <x:c r="J1" s="213"/>
    </x:row>
    <x:row r="2" ht="34" customHeight="1">
      <x:c r="A2" s="216" t="str">
        <x:v>四类记录分区汇总；各区使用独立分母。开放回答用于解释样本经历与信息需求，不替代结构化题统计。</x:v>
      </x:c>
      <x:c r="B2" s="216"/>
      <x:c r="C2" s="216"/>
      <x:c r="D2" s="216"/>
      <x:c r="E2" s="216"/>
      <x:c r="F2" s="216"/>
      <x:c r="G2" s="216"/>
      <x:c r="H2" s="216"/>
      <x:c r="I2" s="216"/>
      <x:c r="J2" s="216"/>
    </x:row>
    <x:row r="3">
      <x:c r="A3" s="209"/>
      <x:c r="B3" s="209"/>
      <x:c r="C3" s="209"/>
      <x:c r="D3" s="209"/>
      <x:c r="E3" s="209"/>
      <x:c r="F3" s="209"/>
      <x:c r="G3" s="209"/>
      <x:c r="H3" s="209"/>
      <x:c r="I3" s="209"/>
      <x:c r="J3" s="209"/>
    </x:row>
    <x:row r="4" ht="25" customHeight="1">
      <x:c r="A4" s="218" t="str">
        <x:v>A. 主要卡点主题汇总（N_blocker=10）</x:v>
      </x:c>
      <x:c r="B4" s="218"/>
      <x:c r="C4" s="218"/>
      <x:c r="D4" s="218"/>
      <x:c r="E4" s="218"/>
      <x:c r="F4" s="218"/>
      <x:c r="G4" s="218"/>
      <x:c r="H4" s="218"/>
      <x:c r="I4" s="218"/>
      <x:c r="J4" s="218"/>
    </x:row>
    <x:row r="5" ht="38" customHeight="1">
      <x:c r="A5" s="221" t="str">
        <x:v>一级主题</x:v>
      </x:c>
      <x:c r="B5" s="221" t="str">
        <x:v>编码记录数</x:v>
      </x:c>
      <x:c r="C5" s="221" t="str">
        <x:v>去重sample_id数</x:v>
      </x:c>
      <x:c r="D5" s="221" t="str">
        <x:v>开放回答分母</x:v>
      </x:c>
      <x:c r="E5" s="221" t="str">
        <x:v>占填写该字段用户比例</x:v>
      </x:c>
      <x:c r="F5" s="221" t="str">
        <x:v>代表sample_id</x:v>
      </x:c>
      <x:c r="G5" s="221" t="str">
        <x:v>匿名代表原话</x:v>
      </x:c>
      <x:c r="H5" s="221" t="str">
        <x:v>主要发生阶段</x:v>
      </x:c>
      <x:c r="I5" s="221" t="str">
        <x:v>可提前发现性</x:v>
      </x:c>
      <x:c r="J5" s="221" t="str">
        <x:v>反例或不确定项</x:v>
      </x:c>
    </x:row>
    <x:row r="6" ht="34" customHeight="1">
      <x:c r="A6" s="222" t="str">
        <x:v>数据与路径</x:v>
      </x:c>
      <x:c r="B6" s="222" t="n">
        <x:v>3</x:v>
      </x:c>
      <x:c r="C6" s="222" t="n">
        <x:v>3</x:v>
      </x:c>
      <x:c r="D6" s="222" t="n">
        <x:v>10</x:v>
      </x:c>
      <x:c r="E6" s="223" t="n">
        <x:v>0.3</x:v>
      </x:c>
      <x:c r="F6" s="222" t="str">
        <x:v>F-001；F-011；F-015</x:v>
      </x:c>
      <x:c r="G6" s="222" t="str">
        <x:v>“官网审批交互不合理”；“数据集获取”；“数据集下载和预处理”</x:v>
      </x:c>
      <x:c r="H6" s="222" t="str">
        <x:v>下载与环境</x:v>
      </x:c>
      <x:c r="I6" s="222" t="str">
        <x:v>是（2）；部分（1）</x:v>
      </x:c>
      <x:c r="J6" s="222" t="str">
        <x:v>部分记录影响程度未知</x:v>
      </x:c>
    </x:row>
    <x:row r="7" ht="34" customHeight="1">
      <x:c r="A7" s="222" t="str">
        <x:v>资产完整性</x:v>
      </x:c>
      <x:c r="B7" s="222" t="n">
        <x:v>2</x:v>
      </x:c>
      <x:c r="C7" s="222" t="n">
        <x:v>2</x:v>
      </x:c>
      <x:c r="D7" s="222" t="n">
        <x:v>10</x:v>
      </x:c>
      <x:c r="E7" s="223" t="n">
        <x:v>0.2</x:v>
      </x:c>
      <x:c r="F7" s="222" t="str">
        <x:v>F-002；F-012</x:v>
      </x:c>
      <x:c r="G7" s="222" t="str">
        <x:v>“方案流程设计”；“论文框架描述模棱两可”</x:v>
      </x:c>
      <x:c r="H7" s="222" t="str">
        <x:v>复现前判断</x:v>
      </x:c>
      <x:c r="I7" s="222" t="str">
        <x:v>是（2）</x:v>
      </x:c>
      <x:c r="J7" s="222" t="str">
        <x:v>F-002影响程度未知</x:v>
      </x:c>
    </x:row>
    <x:row r="8" ht="34" customHeight="1">
      <x:c r="A8" s="222" t="str">
        <x:v>算力适配</x:v>
      </x:c>
      <x:c r="B8" s="222" t="n">
        <x:v>2</x:v>
      </x:c>
      <x:c r="C8" s="222" t="n">
        <x:v>2</x:v>
      </x:c>
      <x:c r="D8" s="222" t="n">
        <x:v>10</x:v>
      </x:c>
      <x:c r="E8" s="223" t="n">
        <x:v>0.2</x:v>
      </x:c>
      <x:c r="F8" s="222" t="str">
        <x:v>F-003；F-014</x:v>
      </x:c>
      <x:c r="G8" s="222" t="str">
        <x:v>“服务器显卡内存不足”；“公开数据集上训练时间长”</x:v>
      </x:c>
      <x:c r="H8" s="222" t="str">
        <x:v>运行中</x:v>
      </x:c>
      <x:c r="I8" s="222" t="str">
        <x:v>部分（2）</x:v>
      </x:c>
      <x:c r="J8" s="222" t="str"/>
    </x:row>
    <x:row r="9" ht="34" customHeight="1">
      <x:c r="A9" s="222" t="str">
        <x:v>权重与配置</x:v>
      </x:c>
      <x:c r="B9" s="222" t="n">
        <x:v>1</x:v>
      </x:c>
      <x:c r="C9" s="222" t="n">
        <x:v>1</x:v>
      </x:c>
      <x:c r="D9" s="222" t="n">
        <x:v>10</x:v>
      </x:c>
      <x:c r="E9" s="223" t="n">
        <x:v>0.1</x:v>
      </x:c>
      <x:c r="F9" s="222" t="str">
        <x:v>F-014</x:v>
      </x:c>
      <x:c r="G9" s="222" t="str">
        <x:v>“权重未公开”</x:v>
      </x:c>
      <x:c r="H9" s="222" t="str">
        <x:v>下载与环境</x:v>
      </x:c>
      <x:c r="I9" s="222" t="str">
        <x:v>是（1）</x:v>
      </x:c>
      <x:c r="J9" s="222" t="str">
        <x:v>小样本，仅作探索性描述</x:v>
      </x:c>
    </x:row>
    <x:row r="10" ht="34" customHeight="1">
      <x:c r="A10" s="222" t="str">
        <x:v>环境兼容性</x:v>
      </x:c>
      <x:c r="B10" s="222" t="n">
        <x:v>1</x:v>
      </x:c>
      <x:c r="C10" s="222" t="n">
        <x:v>1</x:v>
      </x:c>
      <x:c r="D10" s="222" t="n">
        <x:v>10</x:v>
      </x:c>
      <x:c r="E10" s="223" t="n">
        <x:v>0.1</x:v>
      </x:c>
      <x:c r="F10" s="222" t="str">
        <x:v>F-020</x:v>
      </x:c>
      <x:c r="G10" s="222" t="str">
        <x:v>“环境配置”</x:v>
      </x:c>
      <x:c r="H10" s="222" t="str">
        <x:v>下载与环境</x:v>
      </x:c>
      <x:c r="I10" s="222" t="str">
        <x:v>是（1）</x:v>
      </x:c>
      <x:c r="J10" s="222" t="str">
        <x:v>影响程度未知</x:v>
      </x:c>
    </x:row>
    <x:row r="11" ht="34" customHeight="1">
      <x:c r="A11" s="222" t="str">
        <x:v>待定/信息不足</x:v>
      </x:c>
      <x:c r="B11" s="222" t="n">
        <x:v>2</x:v>
      </x:c>
      <x:c r="C11" s="222" t="n">
        <x:v>2</x:v>
      </x:c>
      <x:c r="D11" s="222" t="n">
        <x:v>10</x:v>
      </x:c>
      <x:c r="E11" s="223" t="n">
        <x:v>0.2</x:v>
      </x:c>
      <x:c r="F11" s="222" t="str">
        <x:v>F-004；F-021</x:v>
      </x:c>
      <x:c r="G11" s="222" t="str">
        <x:v>“代码报错”；“无”</x:v>
      </x:c>
      <x:c r="H11" s="222" t="str">
        <x:v>运行中；未知</x:v>
      </x:c>
      <x:c r="I11" s="222" t="str">
        <x:v>未知（2）</x:v>
      </x:c>
      <x:c r="J11" s="222" t="str">
        <x:v>F-004主题待定；F-021为反例/未报告卡点</x:v>
      </x:c>
    </x:row>
    <x:row r="12" ht="34" customHeight="1">
      <x:c r="A12" s="230" t="str">
        <x:v>说明：同一sample_id在同一一级主题内仅计1人；两条未判定主题保留在“待定/信息不足”，未删除或强行归类。</x:v>
      </x:c>
      <x:c r="B12" s="230"/>
      <x:c r="C12" s="230"/>
      <x:c r="D12" s="230"/>
      <x:c r="E12" s="230"/>
      <x:c r="F12" s="230"/>
      <x:c r="G12" s="230"/>
      <x:c r="H12" s="230"/>
      <x:c r="I12" s="230"/>
      <x:c r="J12" s="230"/>
    </x:row>
    <x:row r="13" ht="34" customHeight="1">
      <x:c r="A13" s="209"/>
      <x:c r="B13" s="209"/>
      <x:c r="C13" s="209"/>
      <x:c r="D13" s="209"/>
      <x:c r="E13" s="209"/>
      <x:c r="F13" s="209"/>
      <x:c r="G13" s="209"/>
      <x:c r="H13" s="209"/>
      <x:c r="I13" s="209"/>
      <x:c r="J13" s="209"/>
    </x:row>
    <x:row r="14" ht="34" customHeight="1">
      <x:c r="A14" s="218" t="str">
        <x:v>B. 处理方式汇总（N_action_user=9）</x:v>
      </x:c>
      <x:c r="B14" s="218"/>
      <x:c r="C14" s="218"/>
      <x:c r="D14" s="218"/>
      <x:c r="E14" s="218"/>
      <x:c r="F14" s="218"/>
      <x:c r="G14" s="218"/>
      <x:c r="H14" s="218"/>
      <x:c r="I14" s="218"/>
      <x:c r="J14" s="218"/>
    </x:row>
    <x:row r="15" ht="34" customHeight="1">
      <x:c r="A15" s="221" t="str">
        <x:v>处理动作代码</x:v>
      </x:c>
      <x:c r="B15" s="221" t="str">
        <x:v>编码记录数</x:v>
      </x:c>
      <x:c r="C15" s="221" t="str">
        <x:v>去重sample_id数</x:v>
      </x:c>
      <x:c r="D15" s="221" t="str">
        <x:v>行动用户分母</x:v>
      </x:c>
      <x:c r="E15" s="221" t="str">
        <x:v>用户比例</x:v>
      </x:c>
      <x:c r="F15" s="221" t="str">
        <x:v>处理结果</x:v>
      </x:c>
      <x:c r="G15" s="221" t="str">
        <x:v>代表原话/备注</x:v>
      </x:c>
      <x:c r="H15" s="209"/>
      <x:c r="I15" s="209"/>
      <x:c r="J15" s="209"/>
    </x:row>
    <x:row r="16" ht="34" customHeight="1">
      <x:c r="A16" s="224" t="str">
        <x:v>搜索引擎检索</x:v>
      </x:c>
      <x:c r="B16" s="224" t="n">
        <x:v>1</x:v>
      </x:c>
      <x:c r="C16" s="224" t="n">
        <x:v>1</x:v>
      </x:c>
      <x:c r="D16" s="224" t="n">
        <x:v>9</x:v>
      </x:c>
      <x:c r="E16" s="225" t="n">
        <x:v>0.1111111111111111</x:v>
      </x:c>
      <x:c r="F16" s="224" t="str">
        <x:v>结果未知</x:v>
      </x:c>
      <x:c r="G16" s="224" t="str">
        <x:v>“搜索引擎检索”</x:v>
      </x:c>
      <x:c r="H16" s="209"/>
      <x:c r="I16" s="209"/>
      <x:c r="J16" s="209"/>
    </x:row>
    <x:row r="17" ht="34" customHeight="1">
      <x:c r="A17" s="224" t="str">
        <x:v>询问大模型</x:v>
      </x:c>
      <x:c r="B17" s="224" t="n">
        <x:v>3</x:v>
      </x:c>
      <x:c r="C17" s="224" t="n">
        <x:v>3</x:v>
      </x:c>
      <x:c r="D17" s="224" t="n">
        <x:v>9</x:v>
      </x:c>
      <x:c r="E17" s="225" t="n">
        <x:v>0.3333333333333333</x:v>
      </x:c>
      <x:c r="F17" s="224" t="str">
        <x:v>结果未知</x:v>
      </x:c>
      <x:c r="G17" s="224" t="str">
        <x:v>“大模型提问”；“利用大模型辅助复现”；“AI协助”</x:v>
      </x:c>
      <x:c r="H17" s="209"/>
      <x:c r="I17" s="209"/>
      <x:c r="J17" s="209"/>
    </x:row>
    <x:row r="18" ht="34" customHeight="1">
      <x:c r="A18" s="224" t="str">
        <x:v>升级服务器资源</x:v>
      </x:c>
      <x:c r="B18" s="224" t="n">
        <x:v>1</x:v>
      </x:c>
      <x:c r="C18" s="224" t="n">
        <x:v>1</x:v>
      </x:c>
      <x:c r="D18" s="224" t="n">
        <x:v>9</x:v>
      </x:c>
      <x:c r="E18" s="225" t="n">
        <x:v>0.1111111111111111</x:v>
      </x:c>
      <x:c r="F18" s="224" t="str">
        <x:v>结果未知</x:v>
      </x:c>
      <x:c r="G18" s="224" t="str">
        <x:v>“花钱升级服务器”</x:v>
      </x:c>
      <x:c r="H18" s="209"/>
      <x:c r="I18" s="209"/>
      <x:c r="J18" s="209"/>
    </x:row>
    <x:row r="19" ht="34" customHeight="1">
      <x:c r="A19" s="224" t="str">
        <x:v>使用AI修改代码</x:v>
      </x:c>
      <x:c r="B19" s="224" t="n">
        <x:v>1</x:v>
      </x:c>
      <x:c r="C19" s="224" t="n">
        <x:v>1</x:v>
      </x:c>
      <x:c r="D19" s="224" t="n">
        <x:v>9</x:v>
      </x:c>
      <x:c r="E19" s="225" t="n">
        <x:v>0.1111111111111111</x:v>
      </x:c>
      <x:c r="F19" s="224" t="str">
        <x:v>结果未知</x:v>
      </x:c>
      <x:c r="G19" s="224" t="str">
        <x:v>“AI修改代码”；对应问题主题不明确</x:v>
      </x:c>
      <x:c r="H19" s="209"/>
      <x:c r="I19" s="209"/>
      <x:c r="J19" s="209"/>
    </x:row>
    <x:row r="20" ht="34" customHeight="1">
      <x:c r="A20" s="224" t="str">
        <x:v>查找公开数据集</x:v>
      </x:c>
      <x:c r="B20" s="224" t="n">
        <x:v>1</x:v>
      </x:c>
      <x:c r="C20" s="224" t="n">
        <x:v>1</x:v>
      </x:c>
      <x:c r="D20" s="224" t="n">
        <x:v>9</x:v>
      </x:c>
      <x:c r="E20" s="225" t="n">
        <x:v>0.1111111111111111</x:v>
      </x:c>
      <x:c r="F20" s="224" t="str">
        <x:v>结果未知</x:v>
      </x:c>
      <x:c r="G20" s="224" t="str">
        <x:v>“查询公开数据集”</x:v>
      </x:c>
      <x:c r="H20" s="209"/>
      <x:c r="I20" s="209"/>
      <x:c r="J20" s="209"/>
    </x:row>
    <x:row r="21" ht="34" customHeight="1">
      <x:c r="A21" s="224" t="str">
        <x:v>向导师求助</x:v>
      </x:c>
      <x:c r="B21" s="224" t="n">
        <x:v>1</x:v>
      </x:c>
      <x:c r="C21" s="224" t="n">
        <x:v>1</x:v>
      </x:c>
      <x:c r="D21" s="224" t="n">
        <x:v>9</x:v>
      </x:c>
      <x:c r="E21" s="225" t="n">
        <x:v>0.1111111111111111</x:v>
      </x:c>
      <x:c r="F21" s="224" t="str">
        <x:v>结果未知</x:v>
      </x:c>
      <x:c r="G21" s="224" t="str">
        <x:v>“询问导师”</x:v>
      </x:c>
      <x:c r="H21" s="209"/>
      <x:c r="I21" s="209"/>
      <x:c r="J21" s="209"/>
    </x:row>
    <x:row r="22" ht="34" customHeight="1">
      <x:c r="A22" s="224" t="str">
        <x:v>测试多条技术路线</x:v>
      </x:c>
      <x:c r="B22" s="224" t="n">
        <x:v>1</x:v>
      </x:c>
      <x:c r="C22" s="224" t="n">
        <x:v>1</x:v>
      </x:c>
      <x:c r="D22" s="224" t="n">
        <x:v>9</x:v>
      </x:c>
      <x:c r="E22" s="225" t="n">
        <x:v>0.1111111111111111</x:v>
      </x:c>
      <x:c r="F22" s="224" t="str">
        <x:v>结果未知</x:v>
      </x:c>
      <x:c r="G22" s="224" t="str">
        <x:v>“测试所有可能的技术路线”</x:v>
      </x:c>
      <x:c r="H22" s="209"/>
      <x:c r="I22" s="209"/>
      <x:c r="J22" s="209"/>
    </x:row>
    <x:row r="23" ht="34" customHeight="1">
      <x:c r="A23" s="224" t="str">
        <x:v>联系作者</x:v>
      </x:c>
      <x:c r="B23" s="224" t="n">
        <x:v>1</x:v>
      </x:c>
      <x:c r="C23" s="224" t="n">
        <x:v>1</x:v>
      </x:c>
      <x:c r="D23" s="224" t="n">
        <x:v>9</x:v>
      </x:c>
      <x:c r="E23" s="225" t="n">
        <x:v>0.1111111111111111</x:v>
      </x:c>
      <x:c r="F23" s="224" t="str">
        <x:v>结果未知</x:v>
      </x:c>
      <x:c r="G23" s="224" t="str">
        <x:v>“联系作者”</x:v>
      </x:c>
      <x:c r="H23" s="209"/>
      <x:c r="I23" s="209"/>
      <x:c r="J23" s="209"/>
    </x:row>
    <x:row r="24" ht="34" customHeight="1">
      <x:c r="A24" s="224" t="str">
        <x:v>迁移至更大内存服务器</x:v>
      </x:c>
      <x:c r="B24" s="224" t="n">
        <x:v>1</x:v>
      </x:c>
      <x:c r="C24" s="224" t="n">
        <x:v>1</x:v>
      </x:c>
      <x:c r="D24" s="224" t="n">
        <x:v>9</x:v>
      </x:c>
      <x:c r="E24" s="225" t="n">
        <x:v>0.1111111111111111</x:v>
      </x:c>
      <x:c r="F24" s="224" t="str">
        <x:v>结果未知</x:v>
      </x:c>
      <x:c r="G24" s="224" t="str">
        <x:v>“转移到内存更大的服务器”</x:v>
      </x:c>
      <x:c r="H24" s="209"/>
      <x:c r="I24" s="209"/>
      <x:c r="J24" s="209"/>
    </x:row>
    <x:row r="25" ht="34" customHeight="1">
      <x:c r="A25" s="224" t="str">
        <x:v>重新下载和预处理数据</x:v>
      </x:c>
      <x:c r="B25" s="224" t="n">
        <x:v>1</x:v>
      </x:c>
      <x:c r="C25" s="224" t="n">
        <x:v>1</x:v>
      </x:c>
      <x:c r="D25" s="224" t="n">
        <x:v>9</x:v>
      </x:c>
      <x:c r="E25" s="225" t="n">
        <x:v>0.1111111111111111</x:v>
      </x:c>
      <x:c r="F25" s="224" t="str">
        <x:v>结果未知</x:v>
      </x:c>
      <x:c r="G25" s="224" t="str">
        <x:v>“在新服务器上进行下载和预处理”</x:v>
      </x:c>
      <x:c r="H25" s="209"/>
      <x:c r="I25" s="209"/>
      <x:c r="J25" s="209"/>
    </x:row>
    <x:row r="26" ht="34" customHeight="1">
      <x:c r="A26" s="231" t="str">
        <x:v>反例：未采取处理方式</x:v>
      </x:c>
      <x:c r="B26" s="231" t="n">
        <x:v>1</x:v>
      </x:c>
      <x:c r="C26" s="231" t="n">
        <x:v>1</x:v>
      </x:c>
      <x:c r="D26" s="231" t="str">
        <x:v>不适用</x:v>
      </x:c>
      <x:c r="E26" s="231" t="str">
        <x:v>不适用</x:v>
      </x:c>
      <x:c r="F26" s="231" t="str">
        <x:v>不适用</x:v>
      </x:c>
      <x:c r="G26" s="231" t="str">
        <x:v>F-021：“无”；不计入实际处理动作记录数与N_action_user</x:v>
      </x:c>
      <x:c r="H26" s="209"/>
      <x:c r="I26" s="209"/>
      <x:c r="J26" s="209"/>
    </x:row>
    <x:row r="27" ht="34" customHeight="1">
      <x:c r="A27" s="230" t="str">
        <x:v>结论限制：现有开放回答只能说明用户采用过哪些处理方式，不能判断这些方式是否有效。实际处理动作记录数=12；N_action_user=9。</x:v>
      </x:c>
      <x:c r="B27" s="230"/>
      <x:c r="C27" s="230"/>
      <x:c r="D27" s="230"/>
      <x:c r="E27" s="230"/>
      <x:c r="F27" s="230"/>
      <x:c r="G27" s="230"/>
      <x:c r="H27" s="209"/>
      <x:c r="I27" s="209"/>
      <x:c r="J27" s="209"/>
    </x:row>
    <x:row r="28" ht="34" customHeight="1">
      <x:c r="A28" s="209"/>
      <x:c r="B28" s="209"/>
      <x:c r="C28" s="209"/>
      <x:c r="D28" s="209"/>
      <x:c r="E28" s="209"/>
      <x:c r="F28" s="209"/>
      <x:c r="G28" s="209"/>
      <x:c r="H28" s="209"/>
      <x:c r="I28" s="209"/>
      <x:c r="J28" s="209"/>
    </x:row>
    <x:row r="29" ht="34" customHeight="1">
      <x:c r="A29" s="218" t="str">
        <x:v>C. 提前信息需求汇总（N_need_user=8）</x:v>
      </x:c>
      <x:c r="B29" s="218"/>
      <x:c r="C29" s="218"/>
      <x:c r="D29" s="218"/>
      <x:c r="E29" s="218"/>
      <x:c r="F29" s="218"/>
      <x:c r="G29" s="218"/>
      <x:c r="H29" s="218"/>
      <x:c r="I29" s="218"/>
      <x:c r="J29" s="218"/>
    </x:row>
    <x:row r="30" ht="34" customHeight="1">
      <x:c r="A30" s="221" t="str">
        <x:v>一级主题</x:v>
      </x:c>
      <x:c r="B30" s="221" t="str">
        <x:v>二级信息需求</x:v>
      </x:c>
      <x:c r="C30" s="221" t="str">
        <x:v>编码记录数</x:v>
      </x:c>
      <x:c r="D30" s="221" t="str">
        <x:v>去重sample_id数</x:v>
      </x:c>
      <x:c r="E30" s="221" t="str">
        <x:v>信息需求用户分母</x:v>
      </x:c>
      <x:c r="F30" s="221" t="str">
        <x:v>用户比例</x:v>
      </x:c>
      <x:c r="G30" s="221" t="str">
        <x:v>可提前核验性</x:v>
      </x:c>
      <x:c r="H30" s="221" t="str">
        <x:v>代表原话</x:v>
      </x:c>
      <x:c r="I30" s="221" t="str">
        <x:v>可能的产品承载方式（推断）</x:v>
      </x:c>
      <x:c r="J30" s="209"/>
    </x:row>
    <x:row r="31" ht="34" customHeight="1">
      <x:c r="A31" s="226" t="str">
        <x:v>数据与路径</x:v>
      </x:c>
      <x:c r="B31" s="226" t="str">
        <x:v>数据访问审批流程</x:v>
      </x:c>
      <x:c r="C31" s="226" t="n">
        <x:v>1</x:v>
      </x:c>
      <x:c r="D31" s="226" t="n">
        <x:v>1</x:v>
      </x:c>
      <x:c r="E31" s="226" t="n">
        <x:v>8</x:v>
      </x:c>
      <x:c r="F31" s="227" t="n">
        <x:v>0.125</x:v>
      </x:c>
      <x:c r="G31" s="226" t="str">
        <x:v>是</x:v>
      </x:c>
      <x:c r="H31" s="226" t="str">
        <x:v>“知道官网审批的细节流程”</x:v>
      </x:c>
      <x:c r="I31" s="226" t="str">
        <x:v>准备度卡：数据访问与审批流程</x:v>
      </x:c>
      <x:c r="J31" s="209"/>
    </x:row>
    <x:row r="32" ht="34" customHeight="1">
      <x:c r="A32" s="226" t="str">
        <x:v>资产完整性</x:v>
      </x:c>
      <x:c r="B32" s="226" t="str">
        <x:v>源码是否提供</x:v>
      </x:c>
      <x:c r="C32" s="226" t="n">
        <x:v>1</x:v>
      </x:c>
      <x:c r="D32" s="226" t="n">
        <x:v>1</x:v>
      </x:c>
      <x:c r="E32" s="226" t="n">
        <x:v>8</x:v>
      </x:c>
      <x:c r="F32" s="227" t="n">
        <x:v>0.125</x:v>
      </x:c>
      <x:c r="G32" s="226" t="str">
        <x:v>是</x:v>
      </x:c>
      <x:c r="H32" s="226" t="str">
        <x:v>“源码”</x:v>
      </x:c>
      <x:c r="I32" s="226" t="str">
        <x:v>准备度卡：源码与资产完整性</x:v>
      </x:c>
      <x:c r="J32" s="209"/>
    </x:row>
    <x:row r="33" ht="34" customHeight="1">
      <x:c r="A33" s="226" t="str">
        <x:v>环境兼容性</x:v>
      </x:c>
      <x:c r="B33" s="226" t="str">
        <x:v>运行环境要求</x:v>
      </x:c>
      <x:c r="C33" s="226" t="n">
        <x:v>1</x:v>
      </x:c>
      <x:c r="D33" s="226" t="n">
        <x:v>1</x:v>
      </x:c>
      <x:c r="E33" s="226" t="n">
        <x:v>8</x:v>
      </x:c>
      <x:c r="F33" s="227" t="n">
        <x:v>0.125</x:v>
      </x:c>
      <x:c r="G33" s="226" t="str">
        <x:v>是</x:v>
      </x:c>
      <x:c r="H33" s="226" t="str">
        <x:v>“运行代码需要的环境”</x:v>
      </x:c>
      <x:c r="I33" s="226" t="str">
        <x:v>准备度卡：环境版本与依赖要求</x:v>
      </x:c>
      <x:c r="J33" s="209"/>
    </x:row>
    <x:row r="34" ht="34" customHeight="1">
      <x:c r="A34" s="226" t="str">
        <x:v>替代方案不足</x:v>
      </x:c>
      <x:c r="B34" s="226" t="str">
        <x:v>更有效的AI辅助工具</x:v>
      </x:c>
      <x:c r="C34" s="226" t="n">
        <x:v>1</x:v>
      </x:c>
      <x:c r="D34" s="226" t="n">
        <x:v>1</x:v>
      </x:c>
      <x:c r="E34" s="226" t="n">
        <x:v>8</x:v>
      </x:c>
      <x:c r="F34" s="227" t="n">
        <x:v>0.125</x:v>
      </x:c>
      <x:c r="G34" s="226" t="str">
        <x:v>未知</x:v>
      </x:c>
      <x:c r="H34" s="226" t="str">
        <x:v>“更好用的AI”</x:v>
      </x:c>
      <x:c r="I34" s="226" t="str">
        <x:v>工具辅助入口或能力说明（推断）</x:v>
      </x:c>
      <x:c r="J34" s="209"/>
    </x:row>
    <x:row r="35" ht="34" customHeight="1">
      <x:c r="A35" s="226" t="str">
        <x:v>数据与路径</x:v>
      </x:c>
      <x:c r="B35" s="226" t="str">
        <x:v>数据集是否可获得</x:v>
      </x:c>
      <x:c r="C35" s="226" t="n">
        <x:v>1</x:v>
      </x:c>
      <x:c r="D35" s="226" t="n">
        <x:v>1</x:v>
      </x:c>
      <x:c r="E35" s="226" t="n">
        <x:v>8</x:v>
      </x:c>
      <x:c r="F35" s="227" t="n">
        <x:v>0.125</x:v>
      </x:c>
      <x:c r="G35" s="226" t="str">
        <x:v>是</x:v>
      </x:c>
      <x:c r="H35" s="226" t="str">
        <x:v>“数据集是否可用”</x:v>
      </x:c>
      <x:c r="I35" s="226" t="str">
        <x:v>准备度卡：数据可获得性</x:v>
      </x:c>
      <x:c r="J35" s="209"/>
    </x:row>
    <x:row r="36" ht="34" customHeight="1">
      <x:c r="A36" s="226" t="str">
        <x:v>数据与路径</x:v>
      </x:c>
      <x:c r="B36" s="226" t="str">
        <x:v>数据集规范性</x:v>
      </x:c>
      <x:c r="C36" s="226" t="n">
        <x:v>1</x:v>
      </x:c>
      <x:c r="D36" s="226" t="n">
        <x:v>1</x:v>
      </x:c>
      <x:c r="E36" s="226" t="n">
        <x:v>8</x:v>
      </x:c>
      <x:c r="F36" s="227" t="n">
        <x:v>0.125</x:v>
      </x:c>
      <x:c r="G36" s="226" t="str">
        <x:v>部分</x:v>
      </x:c>
      <x:c r="H36" s="226" t="str">
        <x:v>“数据集是否规范”</x:v>
      </x:c>
      <x:c r="I36" s="226" t="str">
        <x:v>准备度卡：数据格式与质量检查项</x:v>
      </x:c>
      <x:c r="J36" s="209"/>
    </x:row>
    <x:row r="37" ht="34" customHeight="1">
      <x:c r="A37" s="226" t="str">
        <x:v>评测对齐</x:v>
      </x:c>
      <x:c r="B37" s="226" t="str">
        <x:v>目标结果可达性与论文对齐</x:v>
      </x:c>
      <x:c r="C37" s="226" t="n">
        <x:v>1</x:v>
      </x:c>
      <x:c r="D37" s="226" t="n">
        <x:v>1</x:v>
      </x:c>
      <x:c r="E37" s="226" t="n">
        <x:v>8</x:v>
      </x:c>
      <x:c r="F37" s="227" t="n">
        <x:v>0.125</x:v>
      </x:c>
      <x:c r="G37" s="226" t="str">
        <x:v>部分</x:v>
      </x:c>
      <x:c r="H37" s="226" t="str">
        <x:v>“复现结果是否能与论文展示结果接近”</x:v>
      </x:c>
      <x:c r="I37" s="226" t="str">
        <x:v>准备度卡：评测口径与目标结果</x:v>
      </x:c>
      <x:c r="J37" s="209"/>
    </x:row>
    <x:row r="38" ht="34" customHeight="1">
      <x:c r="A38" s="226" t="str">
        <x:v>资产完整性</x:v>
      </x:c>
      <x:c r="B38" s="226" t="str">
        <x:v>代码实现思路</x:v>
      </x:c>
      <x:c r="C38" s="226" t="n">
        <x:v>1</x:v>
      </x:c>
      <x:c r="D38" s="226" t="n">
        <x:v>1</x:v>
      </x:c>
      <x:c r="E38" s="226" t="n">
        <x:v>8</x:v>
      </x:c>
      <x:c r="F38" s="227" t="n">
        <x:v>0.125</x:v>
      </x:c>
      <x:c r="G38" s="226" t="str">
        <x:v>是</x:v>
      </x:c>
      <x:c r="H38" s="226" t="str">
        <x:v>“代码实现思路”</x:v>
      </x:c>
      <x:c r="I38" s="226" t="str">
        <x:v>准备度卡：实现流程说明</x:v>
      </x:c>
      <x:c r="J38" s="209"/>
    </x:row>
    <x:row r="39" ht="34" customHeight="1">
      <x:c r="A39" s="226" t="str">
        <x:v>数据与路径</x:v>
      </x:c>
      <x:c r="B39" s="226" t="str">
        <x:v>数据集规模</x:v>
      </x:c>
      <x:c r="C39" s="226" t="n">
        <x:v>1</x:v>
      </x:c>
      <x:c r="D39" s="226" t="n">
        <x:v>1</x:v>
      </x:c>
      <x:c r="E39" s="226" t="n">
        <x:v>8</x:v>
      </x:c>
      <x:c r="F39" s="227" t="n">
        <x:v>0.125</x:v>
      </x:c>
      <x:c r="G39" s="226" t="str">
        <x:v>是</x:v>
      </x:c>
      <x:c r="H39" s="226" t="str">
        <x:v>“数据集有多大”</x:v>
      </x:c>
      <x:c r="I39" s="226" t="str">
        <x:v>准备度卡：数据规模</x:v>
      </x:c>
      <x:c r="J39" s="209"/>
    </x:row>
    <x:row r="40" ht="34" customHeight="1">
      <x:c r="A40" s="226" t="str">
        <x:v>算力适配</x:v>
      </x:c>
      <x:c r="B40" s="226" t="str">
        <x:v>预计预处理与实验运行时间</x:v>
      </x:c>
      <x:c r="C40" s="226" t="n">
        <x:v>1</x:v>
      </x:c>
      <x:c r="D40" s="226" t="n">
        <x:v>1</x:v>
      </x:c>
      <x:c r="E40" s="226" t="n">
        <x:v>8</x:v>
      </x:c>
      <x:c r="F40" s="227" t="n">
        <x:v>0.125</x:v>
      </x:c>
      <x:c r="G40" s="226" t="str">
        <x:v>部分</x:v>
      </x:c>
      <x:c r="H40" s="226" t="str">
        <x:v>“预处理和实验运行时间大概要多久”</x:v>
      </x:c>
      <x:c r="I40" s="226" t="str">
        <x:v>准备度卡：预计运行时间与资源估算</x:v>
      </x:c>
      <x:c r="J40" s="209"/>
    </x:row>
    <x:row r="41" ht="34" customHeight="1">
      <x:c r="A41" s="226" t="str">
        <x:v>环境兼容性</x:v>
      </x:c>
      <x:c r="B41" s="226" t="str">
        <x:v>环境配置要求</x:v>
      </x:c>
      <x:c r="C41" s="226" t="n">
        <x:v>1</x:v>
      </x:c>
      <x:c r="D41" s="226" t="n">
        <x:v>1</x:v>
      </x:c>
      <x:c r="E41" s="226" t="n">
        <x:v>8</x:v>
      </x:c>
      <x:c r="F41" s="227" t="n">
        <x:v>0.125</x:v>
      </x:c>
      <x:c r="G41" s="226" t="str">
        <x:v>是</x:v>
      </x:c>
      <x:c r="H41" s="226" t="str">
        <x:v>“环境配置信息”</x:v>
      </x:c>
      <x:c r="I41" s="226" t="str">
        <x:v>准备度卡：环境配置要求</x:v>
      </x:c>
      <x:c r="J41" s="209"/>
    </x:row>
    <x:row r="42" ht="34" customHeight="1">
      <x:c r="A42" s="231" t="str">
        <x:v>反例</x:v>
      </x:c>
      <x:c r="B42" s="231" t="str">
        <x:v>未提出提前信息需求</x:v>
      </x:c>
      <x:c r="C42" s="231" t="n">
        <x:v>1</x:v>
      </x:c>
      <x:c r="D42" s="231" t="n">
        <x:v>1</x:v>
      </x:c>
      <x:c r="E42" s="231" t="str">
        <x:v>不适用</x:v>
      </x:c>
      <x:c r="F42" s="231" t="str">
        <x:v>不适用</x:v>
      </x:c>
      <x:c r="G42" s="231" t="str">
        <x:v>不适用</x:v>
      </x:c>
      <x:c r="H42" s="231" t="str">
        <x:v>F-021：“无”</x:v>
      </x:c>
      <x:c r="I42" s="231" t="str">
        <x:v>无；不计入实际信息需求与N_need_user</x:v>
      </x:c>
      <x:c r="J42" s="209"/>
    </x:row>
    <x:row r="43" ht="34" customHeight="1">
      <x:c r="A43" s="230" t="str">
        <x:v>实际信息需求记录数=11；N_need_user=8。9名非空回答者中，1名回答“无”，单独保留为反例。</x:v>
      </x:c>
      <x:c r="B43" s="230"/>
      <x:c r="C43" s="230"/>
      <x:c r="D43" s="230"/>
      <x:c r="E43" s="230"/>
      <x:c r="F43" s="230"/>
      <x:c r="G43" s="230"/>
      <x:c r="H43" s="230"/>
      <x:c r="I43" s="230"/>
      <x:c r="J43" s="209"/>
    </x:row>
    <x:row r="44" ht="34" customHeight="1">
      <x:c r="A44" s="209"/>
      <x:c r="B44" s="209"/>
      <x:c r="C44" s="209"/>
      <x:c r="D44" s="209"/>
      <x:c r="E44" s="209"/>
      <x:c r="F44" s="209"/>
      <x:c r="G44" s="209"/>
      <x:c r="H44" s="209"/>
      <x:c r="I44" s="209"/>
      <x:c r="J44" s="209"/>
    </x:row>
    <x:row r="45" ht="34" customHeight="1">
      <x:c r="A45" s="218" t="str">
        <x:v>D. 项目背景说明（仅用于解释开放回答限制）</x:v>
      </x:c>
      <x:c r="B45" s="218"/>
      <x:c r="C45" s="218"/>
      <x:c r="D45" s="218"/>
      <x:c r="E45" s="218"/>
      <x:c r="F45" s="218"/>
      <x:c r="G45" s="218"/>
      <x:c r="H45" s="218"/>
      <x:c r="I45" s="218"/>
      <x:c r="J45" s="218"/>
    </x:row>
    <x:row r="46" ht="34" customHeight="1">
      <x:c r="A46" s="221" t="str">
        <x:v>检查项目</x:v>
      </x:c>
      <x:c r="B46" s="221" t="str">
        <x:v>人数/记录数</x:v>
      </x:c>
      <x:c r="C46" s="221" t="str">
        <x:v>解释</x:v>
      </x:c>
      <x:c r="D46" s="209"/>
      <x:c r="E46" s="209"/>
      <x:c r="F46" s="209"/>
      <x:c r="G46" s="209"/>
      <x:c r="H46" s="209"/>
      <x:c r="I46" s="209"/>
      <x:c r="J46" s="209"/>
    </x:row>
    <x:row r="47" ht="34" customHeight="1">
      <x:c r="A47" s="228" t="str">
        <x:v>项目背景回答人数</x:v>
      </x:c>
      <x:c r="B47" s="228" t="n">
        <x:v>11</x:v>
      </x:c>
      <x:c r="C47" s="228" t="str">
        <x:v>含回答“无”的反例记录</x:v>
      </x:c>
      <x:c r="D47" s="209"/>
      <x:c r="E47" s="209"/>
      <x:c r="F47" s="209"/>
      <x:c r="G47" s="209"/>
      <x:c r="H47" s="209"/>
      <x:c r="I47" s="209"/>
      <x:c r="J47" s="209"/>
    </x:row>
    <x:row r="48" ht="34" customHeight="1">
      <x:c r="A48" s="228" t="str">
        <x:v>任务场景可判断人数</x:v>
      </x:c>
      <x:c r="B48" s="228" t="n">
        <x:v>2</x:v>
      </x:c>
      <x:c r="C48" s="228" t="str">
        <x:v>仅依据原话判断</x:v>
      </x:c>
      <x:c r="D48" s="209"/>
      <x:c r="E48" s="209"/>
      <x:c r="F48" s="209"/>
      <x:c r="G48" s="209"/>
      <x:c r="H48" s="209"/>
      <x:c r="I48" s="209"/>
      <x:c r="J48" s="209"/>
    </x:row>
    <x:row r="49" ht="34" customHeight="1">
      <x:c r="A49" s="228" t="str">
        <x:v>任务场景未说明人数</x:v>
      </x:c>
      <x:c r="B49" s="228" t="n">
        <x:v>9</x:v>
      </x:c>
      <x:c r="C49" s="228" t="str">
        <x:v>不从项目名称推断</x:v>
      </x:c>
      <x:c r="D49" s="209"/>
      <x:c r="E49" s="209"/>
      <x:c r="F49" s="209"/>
      <x:c r="G49" s="209"/>
      <x:c r="H49" s="209"/>
      <x:c r="I49" s="209"/>
      <x:c r="J49" s="209"/>
    </x:row>
    <x:row r="50" ht="34" customHeight="1">
      <x:c r="A50" s="228" t="str">
        <x:v>任务动作可判断人数</x:v>
      </x:c>
      <x:c r="B50" s="228" t="n">
        <x:v>3</x:v>
      </x:c>
      <x:c r="C50" s="228" t="str">
        <x:v>模型训练1；其他实验动作2</x:v>
      </x:c>
      <x:c r="D50" s="209"/>
      <x:c r="E50" s="209"/>
      <x:c r="F50" s="209"/>
      <x:c r="G50" s="209"/>
      <x:c r="H50" s="209"/>
      <x:c r="I50" s="209"/>
      <x:c r="J50" s="209"/>
    </x:row>
    <x:row r="51" ht="34" customHeight="1">
      <x:c r="A51" s="228" t="str">
        <x:v>任务动作未说明人数</x:v>
      </x:c>
      <x:c r="B51" s="228" t="n">
        <x:v>8</x:v>
      </x:c>
      <x:c r="C51" s="228" t="str">
        <x:v>原话不足以判断具体动作</x:v>
      </x:c>
      <x:c r="D51" s="209"/>
      <x:c r="E51" s="209"/>
      <x:c r="F51" s="209"/>
      <x:c r="G51" s="209"/>
      <x:c r="H51" s="209"/>
      <x:c r="I51" s="209"/>
      <x:c r="J51" s="209"/>
    </x:row>
    <x:row r="52" ht="34" customHeight="1">
      <x:c r="A52" s="228" t="str">
        <x:v>涉及真实运行明确为“是”</x:v>
      </x:c>
      <x:c r="B52" s="228" t="n">
        <x:v>3</x:v>
      </x:c>
      <x:c r="C52" s="228" t="str">
        <x:v>仅描述开放回答本身，不替代Q7</x:v>
      </x:c>
      <x:c r="D52" s="209"/>
      <x:c r="E52" s="209"/>
      <x:c r="F52" s="209"/>
      <x:c r="G52" s="209"/>
      <x:c r="H52" s="209"/>
      <x:c r="I52" s="209"/>
      <x:c r="J52" s="209"/>
    </x:row>
    <x:row r="53" ht="34" customHeight="1">
      <x:c r="A53" s="228" t="str">
        <x:v>上下文完整或基本完整</x:v>
      </x:c>
      <x:c r="B53" s="228" t="n">
        <x:v>5</x:v>
      </x:c>
      <x:c r="C53" s="228" t="str">
        <x:v>完整1；基本完整4</x:v>
      </x:c>
      <x:c r="D53" s="209"/>
      <x:c r="E53" s="209"/>
      <x:c r="F53" s="209"/>
      <x:c r="G53" s="209"/>
      <x:c r="H53" s="209"/>
      <x:c r="I53" s="209"/>
      <x:c r="J53" s="209"/>
    </x:row>
    <x:row r="54" ht="34" customHeight="1">
      <x:c r="A54" s="228" t="str">
        <x:v>上下文不足</x:v>
      </x:c>
      <x:c r="B54" s="228" t="n">
        <x:v>6</x:v>
      </x:c>
      <x:c r="C54" s="228" t="str">
        <x:v>不代表问卷无效或编码错误</x:v>
      </x:c>
      <x:c r="D54" s="209"/>
      <x:c r="E54" s="209"/>
      <x:c r="F54" s="209"/>
      <x:c r="G54" s="209"/>
      <x:c r="H54" s="209"/>
      <x:c r="I54" s="209"/>
      <x:c r="J54" s="209"/>
    </x:row>
    <x:row r="55" ht="34" customHeight="1">
      <x:c r="A55" s="209"/>
      <x:c r="B55" s="209"/>
      <x:c r="C55" s="209"/>
      <x:c r="D55" s="209"/>
      <x:c r="E55" s="209"/>
      <x:c r="F55" s="209"/>
      <x:c r="G55" s="209"/>
      <x:c r="H55" s="209"/>
      <x:c r="I55" s="209"/>
      <x:c r="J55" s="209"/>
    </x:row>
    <x:row r="56" ht="34" customHeight="1">
      <x:c r="A56" s="218" t="str">
        <x:v>代表原话规则与证据保留</x:v>
      </x:c>
      <x:c r="B56" s="218"/>
      <x:c r="C56" s="218"/>
      <x:c r="D56" s="218"/>
      <x:c r="E56" s="218"/>
      <x:c r="F56" s="218"/>
      <x:c r="G56" s="218"/>
      <x:c r="H56" s="218"/>
      <x:c r="I56" s="218"/>
      <x:c r="J56" s="218"/>
    </x:row>
    <x:row r="57" ht="34" customHeight="1">
      <x:c r="A57" s="230" t="str">
        <x:v>每个相对重要主题保留1—3条匿名原话，优先选择能清楚描述实际问题、阶段/影响或可提前发现性的回答；不得包含身份、学校、公司、私有仓库或服务器等敏感信息。已保留反例F-021“无”，并保留F-004“代码报错”等信息不足/无法判断记录。</x:v>
      </x:c>
      <x:c r="B57" s="230"/>
      <x:c r="C57" s="230"/>
      <x:c r="D57" s="230"/>
      <x:c r="E57" s="230"/>
      <x:c r="F57" s="230"/>
      <x:c r="G57" s="230"/>
      <x:c r="H57" s="230"/>
      <x:c r="I57" s="230"/>
      <x:c r="J57" s="230"/>
    </x:row>
    <x:row r="58" ht="34" customHeight="1">
      <x:c r="A58" s="230"/>
      <x:c r="B58" s="230"/>
      <x:c r="C58" s="230"/>
      <x:c r="D58" s="230"/>
      <x:c r="E58" s="230"/>
      <x:c r="F58" s="230"/>
      <x:c r="G58" s="230"/>
      <x:c r="H58" s="230"/>
      <x:c r="I58" s="230"/>
      <x:c r="J58" s="230"/>
    </x:row>
    <x:row r="59" ht="34" customHeight="1">
      <x:c r="A59" s="230"/>
      <x:c r="B59" s="230"/>
      <x:c r="C59" s="230"/>
      <x:c r="D59" s="230"/>
      <x:c r="E59" s="230"/>
      <x:c r="F59" s="230"/>
      <x:c r="G59" s="230"/>
      <x:c r="H59" s="230"/>
      <x:c r="I59" s="230"/>
      <x:c r="J59" s="230"/>
    </x:row>
  </x:sheetData>
  <x:mergeCells>
    <x:mergeCell ref="A1:J1"/>
    <x:mergeCell ref="A2:J2"/>
    <x:mergeCell ref="A4:J4"/>
    <x:mergeCell ref="A12:J12"/>
    <x:mergeCell ref="A14:G14"/>
    <x:mergeCell ref="A27:G27"/>
    <x:mergeCell ref="A29:I29"/>
    <x:mergeCell ref="A43:I43"/>
    <x:mergeCell ref="A45:C45"/>
    <x:mergeCell ref="A56:J56"/>
    <x:mergeCell ref="A57:J5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0" hidden="0" customWidth="1"/>
    <x:col min="4" max="4" width="28" hidden="0" customWidth="1"/>
    <x:col min="5" max="5" width="38" hidden="0" customWidth="1"/>
    <x:col min="6" max="6" width="42" hidden="0" customWidth="1"/>
    <x:col min="7" max="7" width="42" hidden="0" customWidth="1"/>
    <x:col min="8" max="8" width="34" hidden="0" customWidth="1"/>
    <x:col min="9" max="9" width="28" hidden="0" customWidth="1"/>
    <x:col min="10" max="10" width="12" hidden="0" customWidth="1"/>
    <x:col min="11" max="11" width="14" hidden="0" customWidth="1"/>
    <x:col min="12" max="12" width="42" hidden="0" customWidth="1"/>
    <x:col min="14" max="14" width="14" hidden="0" customWidth="1"/>
    <x:col min="15" max="15" width="12" hidden="0" customWidth="1"/>
    <x:col min="16" max="16" width="24" hidden="0" customWidth="1"/>
    <x:col min="17" max="17" width="30" hidden="0" customWidth="1"/>
    <x:col min="18" max="18" width="34" hidden="0" customWidth="1"/>
    <x:col min="19" max="19" width="36" hidden="0" customWidth="1"/>
    <x:col min="20" max="20" width="34" hidden="0" customWidth="1"/>
  </x:cols>
  <x:sheetData>
    <x:row r="1" ht="28" customHeight="1">
      <x:c r="A1" s="237" t="str">
        <x:v>Q17开放文本代码本 V0.1（冻结）</x:v>
      </x:c>
      <x:c r="B1" s="237"/>
      <x:c r="C1" s="237"/>
      <x:c r="D1" s="237"/>
      <x:c r="E1" s="237"/>
      <x:c r="F1" s="237"/>
      <x:c r="G1" s="237"/>
      <x:c r="H1" s="237"/>
      <x:c r="I1" s="237"/>
      <x:c r="J1" s="237"/>
      <x:c r="K1" s="237"/>
      <x:c r="L1" s="237"/>
      <x:c r="M1" s="234"/>
      <x:c r="N1" s="237" t="str">
        <x:v>代码本修订记录</x:v>
      </x:c>
      <x:c r="O1" s="237"/>
      <x:c r="P1" s="237"/>
      <x:c r="Q1" s="237"/>
      <x:c r="R1" s="237"/>
      <x:c r="S1" s="237"/>
      <x:c r="T1" s="237"/>
    </x:row>
    <x:row r="2" ht="28" customHeight="1">
      <x:c r="A2" s="239" t="str">
        <x:v>冻结日期：2026-08-07。后续编码不得为配合假设或产品结论而静默改码；任何变更必须进入修订记录。</x:v>
      </x:c>
      <x:c r="B2" s="239"/>
      <x:c r="C2" s="239"/>
      <x:c r="D2" s="239"/>
      <x:c r="E2" s="239"/>
      <x:c r="F2" s="239"/>
      <x:c r="G2" s="239"/>
      <x:c r="H2" s="239"/>
      <x:c r="I2" s="239"/>
      <x:c r="J2" s="239"/>
      <x:c r="K2" s="239"/>
      <x:c r="L2" s="239"/>
      <x:c r="M2" s="234"/>
      <x:c r="N2" s="242" t="str">
        <x:v>修订日期</x:v>
      </x:c>
      <x:c r="O2" s="242" t="str">
        <x:v>版本</x:v>
      </x:c>
      <x:c r="P2" s="242" t="str">
        <x:v>修订对象</x:v>
      </x:c>
      <x:c r="Q2" s="242" t="str">
        <x:v>修订前</x:v>
      </x:c>
      <x:c r="R2" s="242" t="str">
        <x:v>修订后</x:v>
      </x:c>
      <x:c r="S2" s="242" t="str">
        <x:v>修订原因</x:v>
      </x:c>
      <x:c r="T2" s="242" t="str">
        <x:v>是否影响既有编码/统计</x:v>
      </x:c>
    </x:row>
    <x:row r="3">
      <x:c r="A3" s="234"/>
      <x:c r="B3" s="234"/>
      <x:c r="C3" s="234"/>
      <x:c r="D3" s="234"/>
      <x:c r="E3" s="234"/>
      <x:c r="F3" s="234"/>
      <x:c r="G3" s="234"/>
      <x:c r="H3" s="234"/>
      <x:c r="I3" s="234"/>
      <x:c r="J3" s="234"/>
      <x:c r="K3" s="234"/>
      <x:c r="L3" s="234"/>
      <x:c r="M3" s="234"/>
      <x:c r="N3" s="244" t="str">
        <x:v>2026-08-07</x:v>
      </x:c>
      <x:c r="O3" s="244" t="str">
        <x:v>V0.1</x:v>
      </x:c>
      <x:c r="P3" s="244" t="str">
        <x:v>处理结果与编码不确定</x:v>
      </x:c>
      <x:c r="Q3" s="244" t="str">
        <x:v>结果未知即标记编码不确定</x:v>
      </x:c>
      <x:c r="R3" s="244" t="str">
        <x:v>处理结果与不确定编码分列</x:v>
      </x:c>
      <x:c r="S3" s="244" t="str">
        <x:v>动作明确但成效未知不等于编码不确定</x:v>
      </x:c>
      <x:c r="T3" s="244" t="str">
        <x:v>修正不确定记录数；不改变动作频数</x:v>
      </x:c>
    </x:row>
    <x:row r="4" ht="38" customHeight="1">
      <x:c r="A4" s="242" t="str">
        <x:v>code_id</x:v>
      </x:c>
      <x:c r="B4" s="242" t="str">
        <x:v>记录类型</x:v>
      </x:c>
      <x:c r="C4" s="242" t="str">
        <x:v>一级主题</x:v>
      </x:c>
      <x:c r="D4" s="242" t="str">
        <x:v>二级代码</x:v>
      </x:c>
      <x:c r="E4" s="242" t="str">
        <x:v>代码定义</x:v>
      </x:c>
      <x:c r="F4" s="242" t="str">
        <x:v>纳入标准</x:v>
      </x:c>
      <x:c r="G4" s="242" t="str">
        <x:v>排除标准</x:v>
      </x:c>
      <x:c r="H4" s="242" t="str">
        <x:v>匿名示例</x:v>
      </x:c>
      <x:c r="I4" s="242" t="str">
        <x:v>适用来源字段</x:v>
      </x:c>
      <x:c r="J4" s="242" t="str">
        <x:v>代码状态</x:v>
      </x:c>
      <x:c r="K4" s="242" t="str">
        <x:v>首次使用版本</x:v>
      </x:c>
      <x:c r="L4" s="242" t="str">
        <x:v>修订备注</x:v>
      </x:c>
      <x:c r="M4" s="234"/>
      <x:c r="N4" s="244" t="str">
        <x:v>2026-08-07</x:v>
      </x:c>
      <x:c r="O4" s="244" t="str">
        <x:v>V0.1</x:v>
      </x:c>
      <x:c r="P4" s="244" t="str">
        <x:v>无/未采取处理</x:v>
      </x:c>
      <x:c r="Q4" s="244" t="str">
        <x:v>结果未知或未明确主题</x:v>
      </x:c>
      <x:c r="R4" s="244" t="str">
        <x:v>反例；处理结果/核验性=不适用；不计入实际总数</x:v>
      </x:c>
      <x:c r="S4" s="244" t="str">
        <x:v>无表示未行动或未提出需求，不是未知编码</x:v>
      </x:c>
      <x:c r="T4" s="244" t="str">
        <x:v>修正适用分母；不改变原始回答</x:v>
      </x:c>
    </x:row>
    <x:row r="5" ht="44" customHeight="1">
      <x:c r="A5" s="243" t="str">
        <x:v>TH-01</x:v>
      </x:c>
      <x:c r="B5" s="243" t="str">
        <x:v>通用主题</x:v>
      </x:c>
      <x:c r="C5" s="243" t="str">
        <x:v>资产完整性</x:v>
      </x:c>
      <x:c r="D5" s="243" t="str">
        <x:v>主题级定义</x:v>
      </x:c>
      <x:c r="E5" s="243" t="str">
        <x:v>项目材料、源码或说明资产是否完整</x:v>
      </x:c>
      <x:c r="F5" s="243" t="str">
        <x:v>仓库缺文件、README/源码/配置说明缺失</x:v>
      </x:c>
      <x:c r="G5" s="243" t="str">
        <x:v>环境版本、数据路径、显存问题</x:v>
      </x:c>
      <x:c r="H5" s="243" t="str">
        <x:v>论文框架描述模棱两可</x:v>
      </x:c>
      <x:c r="I5" s="243" t="str">
        <x:v>Q17开放字段</x:v>
      </x:c>
      <x:c r="J5" s="243" t="str">
        <x:v>使用中</x:v>
      </x:c>
      <x:c r="K5" s="243" t="str">
        <x:v>V0.1</x:v>
      </x:c>
      <x:c r="L5" s="243" t="str"/>
      <x:c r="M5" s="234"/>
      <x:c r="N5" s="244" t="str">
        <x:v>2026-08-07</x:v>
      </x:c>
      <x:c r="O5" s="244" t="str">
        <x:v>V0.1</x:v>
      </x:c>
      <x:c r="P5" s="244" t="str">
        <x:v>项目背景任务类型</x:v>
      </x:c>
      <x:c r="Q5" s="244" t="str">
        <x:v>场景与动作混合为单一任务类型</x:v>
      </x:c>
      <x:c r="R5" s="244" t="str">
        <x:v>拆分为任务场景与任务动作；旧字段停用</x:v>
      </x:c>
      <x:c r="S5" s="244" t="str">
        <x:v>保持正式分类轴同一抽象层级</x:v>
      </x:c>
      <x:c r="T5" s="244" t="str">
        <x:v>改变项目背景汇总分类轴；不影响痛点/需求统计</x:v>
      </x:c>
    </x:row>
    <x:row r="6" ht="44" customHeight="1">
      <x:c r="A6" s="243" t="str">
        <x:v>TH-02</x:v>
      </x:c>
      <x:c r="B6" s="243" t="str">
        <x:v>通用主题</x:v>
      </x:c>
      <x:c r="C6" s="243" t="str">
        <x:v>环境兼容性</x:v>
      </x:c>
      <x:c r="D6" s="243" t="str">
        <x:v>主题级定义</x:v>
      </x:c>
      <x:c r="E6" s="243" t="str">
        <x:v>运行环境及依赖是否兼容</x:v>
      </x:c>
      <x:c r="F6" s="243" t="str">
        <x:v>Python、CUDA、框架、依赖版本不兼容或安装失败</x:v>
      </x:c>
      <x:c r="G6" s="243" t="str">
        <x:v>文件路径错误、数据下载、显存不足</x:v>
      </x:c>
      <x:c r="H6" s="243" t="str">
        <x:v>环境配置</x:v>
      </x:c>
      <x:c r="I6" s="243" t="str">
        <x:v>Q17开放字段</x:v>
      </x:c>
      <x:c r="J6" s="243" t="str">
        <x:v>使用中</x:v>
      </x:c>
      <x:c r="K6" s="243" t="str">
        <x:v>V0.1</x:v>
      </x:c>
      <x:c r="L6" s="243" t="str"/>
      <x:c r="M6" s="234"/>
      <x:c r="N6" s="234"/>
      <x:c r="O6" s="234"/>
      <x:c r="P6" s="234"/>
      <x:c r="Q6" s="234"/>
      <x:c r="R6" s="234"/>
      <x:c r="S6" s="234"/>
      <x:c r="T6" s="234"/>
    </x:row>
    <x:row r="7" ht="44" customHeight="1">
      <x:c r="A7" s="243" t="str">
        <x:v>TH-03</x:v>
      </x:c>
      <x:c r="B7" s="243" t="str">
        <x:v>通用主题</x:v>
      </x:c>
      <x:c r="C7" s="243" t="str">
        <x:v>数据与路径</x:v>
      </x:c>
      <x:c r="D7" s="243" t="str">
        <x:v>主题级定义</x:v>
      </x:c>
      <x:c r="E7" s="243" t="str">
        <x:v>数据获得、组织、路径和预处理问题</x:v>
      </x:c>
      <x:c r="F7" s="243" t="str">
        <x:v>数据获取、权限、目录结构、路径、预处理或文件缺失</x:v>
      </x:c>
      <x:c r="G7" s="243" t="str">
        <x:v>checkpoint缺失、配置参数错误、依赖冲突</x:v>
      </x:c>
      <x:c r="H7" s="243" t="str">
        <x:v>数据集获取</x:v>
      </x:c>
      <x:c r="I7" s="243" t="str">
        <x:v>Q17开放字段</x:v>
      </x:c>
      <x:c r="J7" s="243" t="str">
        <x:v>使用中</x:v>
      </x:c>
      <x:c r="K7" s="243" t="str">
        <x:v>V0.1</x:v>
      </x:c>
      <x:c r="L7" s="243" t="str"/>
      <x:c r="M7" s="234"/>
      <x:c r="N7" s="234"/>
      <x:c r="O7" s="234"/>
      <x:c r="P7" s="234"/>
      <x:c r="Q7" s="234"/>
      <x:c r="R7" s="234"/>
      <x:c r="S7" s="234"/>
      <x:c r="T7" s="234"/>
    </x:row>
    <x:row r="8" ht="44" customHeight="1">
      <x:c r="A8" s="243" t="str">
        <x:v>TH-04</x:v>
      </x:c>
      <x:c r="B8" s="243" t="str">
        <x:v>通用主题</x:v>
      </x:c>
      <x:c r="C8" s="243" t="str">
        <x:v>权重与配置</x:v>
      </x:c>
      <x:c r="D8" s="243" t="str">
        <x:v>主题级定义</x:v>
      </x:c>
      <x:c r="E8" s="243" t="str">
        <x:v>模型权重和运行配置是否可用</x:v>
      </x:c>
      <x:c r="F8" s="243" t="str">
        <x:v>checkpoint缺失、键不匹配、配置路径或参数错误</x:v>
      </x:c>
      <x:c r="G8" s="243" t="str">
        <x:v>数据集缺失、依赖冲突、显存不足</x:v>
      </x:c>
      <x:c r="H8" s="243" t="str">
        <x:v>权重未公开</x:v>
      </x:c>
      <x:c r="I8" s="243" t="str">
        <x:v>Q17开放字段</x:v>
      </x:c>
      <x:c r="J8" s="243" t="str">
        <x:v>使用中</x:v>
      </x:c>
      <x:c r="K8" s="243" t="str">
        <x:v>V0.1</x:v>
      </x:c>
      <x:c r="L8" s="243" t="str"/>
      <x:c r="M8" s="234"/>
      <x:c r="N8" s="237" t="str">
        <x:v>待复核记录（不虚构新代码）</x:v>
      </x:c>
      <x:c r="O8" s="237"/>
      <x:c r="P8" s="237"/>
      <x:c r="Q8" s="237"/>
      <x:c r="R8" s="237"/>
      <x:c r="S8" s="237"/>
      <x:c r="T8" s="234"/>
    </x:row>
    <x:row r="9" ht="44" customHeight="1">
      <x:c r="A9" s="243" t="str">
        <x:v>TH-05</x:v>
      </x:c>
      <x:c r="B9" s="243" t="str">
        <x:v>通用主题</x:v>
      </x:c>
      <x:c r="C9" s="243" t="str">
        <x:v>算力适配</x:v>
      </x:c>
      <x:c r="D9" s="243" t="str">
        <x:v>主题级定义</x:v>
      </x:c>
      <x:c r="E9" s="243" t="str">
        <x:v>硬件、存储和运行时资源是否适配</x:v>
      </x:c>
      <x:c r="F9" s="243" t="str">
        <x:v>显存不足、运行过长、存储或GPU数量不足</x:v>
      </x:c>
      <x:c r="G9" s="243" t="str">
        <x:v>依赖安装、数据权限、评测口径</x:v>
      </x:c>
      <x:c r="H9" s="243" t="str">
        <x:v>服务器显卡内存不足</x:v>
      </x:c>
      <x:c r="I9" s="243" t="str">
        <x:v>Q17开放字段</x:v>
      </x:c>
      <x:c r="J9" s="243" t="str">
        <x:v>使用中</x:v>
      </x:c>
      <x:c r="K9" s="243" t="str">
        <x:v>V0.1</x:v>
      </x:c>
      <x:c r="L9" s="243" t="str"/>
      <x:c r="M9" s="234"/>
      <x:c r="N9" s="242" t="str">
        <x:v>coding_id</x:v>
      </x:c>
      <x:c r="O9" s="242" t="str">
        <x:v>sample_id</x:v>
      </x:c>
      <x:c r="P9" s="242" t="str">
        <x:v>来源字段</x:v>
      </x:c>
      <x:c r="Q9" s="242" t="str">
        <x:v>当前判定</x:v>
      </x:c>
      <x:c r="R9" s="242" t="str">
        <x:v>待复核原因</x:v>
      </x:c>
      <x:c r="S9" s="242" t="str">
        <x:v>状态</x:v>
      </x:c>
      <x:c r="T9" s="234"/>
    </x:row>
    <x:row r="10" ht="44" customHeight="1">
      <x:c r="A10" s="243" t="str">
        <x:v>TH-06</x:v>
      </x:c>
      <x:c r="B10" s="243" t="str">
        <x:v>通用主题</x:v>
      </x:c>
      <x:c r="C10" s="243" t="str">
        <x:v>执行链</x:v>
      </x:c>
      <x:c r="D10" s="243" t="str">
        <x:v>主题级定义</x:v>
      </x:c>
      <x:c r="E10" s="243" t="str">
        <x:v>从命令到训练/测试入口的执行链是否清楚</x:v>
      </x:c>
      <x:c r="F10" s="243" t="str">
        <x:v>启动命令、脚本依赖、参数或入口不清</x:v>
      </x:c>
      <x:c r="G10" s="243" t="str">
        <x:v>环境版本、权重缺失、指标不一致</x:v>
      </x:c>
      <x:c r="H10" s="243" t="str"/>
      <x:c r="I10" s="243" t="str">
        <x:v>Q17开放字段</x:v>
      </x:c>
      <x:c r="J10" s="243" t="str">
        <x:v>未启用</x:v>
      </x:c>
      <x:c r="K10" s="243" t="str">
        <x:v>V0.1</x:v>
      </x:c>
      <x:c r="L10" s="243" t="str">
        <x:v>初始预设主题，本轮未出现</x:v>
      </x:c>
      <x:c r="M10" s="234"/>
      <x:c r="N10" s="245" t="str">
        <x:v>OT-004</x:v>
      </x:c>
      <x:c r="O10" s="245" t="str">
        <x:v>F-004</x:v>
      </x:c>
      <x:c r="P10" s="245" t="str">
        <x:v>Q17_主要卡点</x:v>
      </x:c>
      <x:c r="Q10" s="245" t="str">
        <x:v>一级主题待定</x:v>
      </x:c>
      <x:c r="R10" s="245" t="str">
        <x:v>仅描述“代码报错”，错误类型和原因不足</x:v>
      </x:c>
      <x:c r="S10" s="245" t="str">
        <x:v>待复核</x:v>
      </x:c>
      <x:c r="T10" s="234"/>
    </x:row>
    <x:row r="11" ht="44" customHeight="1">
      <x:c r="A11" s="243" t="str">
        <x:v>TH-07</x:v>
      </x:c>
      <x:c r="B11" s="243" t="str">
        <x:v>通用主题</x:v>
      </x:c>
      <x:c r="C11" s="243" t="str">
        <x:v>评测对齐</x:v>
      </x:c>
      <x:c r="D11" s="243" t="str">
        <x:v>主题级定义</x:v>
      </x:c>
      <x:c r="E11" s="243" t="str">
        <x:v>评测口径与目标结果是否一致</x:v>
      </x:c>
      <x:c r="F11" s="243" t="str">
        <x:v>数据划分、指标、聚合、随机种子或目标结果对齐</x:v>
      </x:c>
      <x:c r="G11" s="243" t="str">
        <x:v>训练资源、下载权限、依赖安装</x:v>
      </x:c>
      <x:c r="H11" s="243" t="str">
        <x:v>复现结果是否能与论文展示结果接近</x:v>
      </x:c>
      <x:c r="I11" s="243" t="str">
        <x:v>Q17开放字段</x:v>
      </x:c>
      <x:c r="J11" s="243" t="str">
        <x:v>使用中</x:v>
      </x:c>
      <x:c r="K11" s="243" t="str">
        <x:v>V0.1</x:v>
      </x:c>
      <x:c r="L11" s="243" t="str"/>
      <x:c r="M11" s="234"/>
      <x:c r="N11" s="245" t="str">
        <x:v>OT-011</x:v>
      </x:c>
      <x:c r="O11" s="245" t="str">
        <x:v>F-021</x:v>
      </x:c>
      <x:c r="P11" s="245" t="str">
        <x:v>Q17_主要卡点</x:v>
      </x:c>
      <x:c r="Q11" s="245" t="str">
        <x:v>一级主题待定</x:v>
      </x:c>
      <x:c r="R11" s="245" t="str">
        <x:v>原话为“无”，属于未报告卡点反例</x:v>
      </x:c>
      <x:c r="S11" s="245" t="str">
        <x:v>待复核</x:v>
      </x:c>
      <x:c r="T11" s="234"/>
    </x:row>
    <x:row r="12" ht="44" customHeight="1">
      <x:c r="A12" s="243" t="str">
        <x:v>TH-08</x:v>
      </x:c>
      <x:c r="B12" s="243" t="str">
        <x:v>通用主题</x:v>
      </x:c>
      <x:c r="C12" s="243" t="str">
        <x:v>替代方案不足</x:v>
      </x:c>
      <x:c r="D12" s="243" t="str">
        <x:v>主题级定义</x:v>
      </x:c>
      <x:c r="E12" s="243" t="str">
        <x:v>现有求助或替代方案未充分满足需求</x:v>
      </x:c>
      <x:c r="F12" s="243" t="str">
        <x:v>搜索结果泛化、AI无证据或依赖熟人；原话明确表达工具不足</x:v>
      </x:c>
      <x:c r="G12" s="243" t="str">
        <x:v>具体环境、数据、算力故障</x:v>
      </x:c>
      <x:c r="H12" s="243" t="str">
        <x:v>更好用的AI</x:v>
      </x:c>
      <x:c r="I12" s="243" t="str">
        <x:v>Q17开放字段</x:v>
      </x:c>
      <x:c r="J12" s="243" t="str">
        <x:v>使用中</x:v>
      </x:c>
      <x:c r="K12" s="243" t="str">
        <x:v>V0.1</x:v>
      </x:c>
      <x:c r="L12" s="243" t="str"/>
      <x:c r="M12" s="234"/>
      <x:c r="N12" s="234"/>
      <x:c r="O12" s="234"/>
      <x:c r="P12" s="234"/>
      <x:c r="Q12" s="234"/>
      <x:c r="R12" s="234"/>
      <x:c r="S12" s="234"/>
      <x:c r="T12" s="234"/>
    </x:row>
    <x:row r="13" ht="44" customHeight="1">
      <x:c r="A13" s="243" t="str">
        <x:v>TH-09</x:v>
      </x:c>
      <x:c r="B13" s="243" t="str">
        <x:v>通用主题</x:v>
      </x:c>
      <x:c r="C13" s="243" t="str">
        <x:v>信任与安全</x:v>
      </x:c>
      <x:c r="D13" s="243" t="str">
        <x:v>主题级定义</x:v>
      </x:c>
      <x:c r="E13" s="243" t="str">
        <x:v>证据、隐私和危险操作顾虑</x:v>
      </x:c>
      <x:c r="F13" s="243" t="str">
        <x:v>需要证据、拒绝自动执行、隐私或危险命令顾虑</x:v>
      </x:c>
      <x:c r="G13" s="243" t="str">
        <x:v>一般技术故障或资源不足</x:v>
      </x:c>
      <x:c r="H13" s="243" t="str"/>
      <x:c r="I13" s="243" t="str">
        <x:v>Q17开放字段</x:v>
      </x:c>
      <x:c r="J13" s="243" t="str">
        <x:v>未启用</x:v>
      </x:c>
      <x:c r="K13" s="243" t="str">
        <x:v>V0.1</x:v>
      </x:c>
      <x:c r="L13" s="243" t="str">
        <x:v>初始预设主题，本轮未出现</x:v>
      </x:c>
      <x:c r="M13" s="234"/>
      <x:c r="N13" s="234"/>
      <x:c r="O13" s="234"/>
      <x:c r="P13" s="234"/>
      <x:c r="Q13" s="234"/>
      <x:c r="R13" s="234"/>
      <x:c r="S13" s="234"/>
      <x:c r="T13" s="234"/>
    </x:row>
    <x:row r="14" ht="44" customHeight="1">
      <x:c r="A14" s="243" t="str">
        <x:v>TH-10</x:v>
      </x:c>
      <x:c r="B14" s="243" t="str">
        <x:v>通用主题</x:v>
      </x:c>
      <x:c r="C14" s="243" t="str">
        <x:v>协作需求</x:v>
      </x:c>
      <x:c r="D14" s="243" t="str">
        <x:v>主题级定义</x:v>
      </x:c>
      <x:c r="E14" s="243" t="str">
        <x:v>与他人分享、协助和复盘的需求</x:v>
      </x:c>
      <x:c r="F14" s="243" t="str">
        <x:v>分享、行动项、协助或失败经验复用</x:v>
      </x:c>
      <x:c r="G14" s="243" t="str">
        <x:v>单人技术排错且未涉及协作</x:v>
      </x:c>
      <x:c r="H14" s="243" t="str"/>
      <x:c r="I14" s="243" t="str">
        <x:v>Q17开放字段</x:v>
      </x:c>
      <x:c r="J14" s="243" t="str">
        <x:v>未启用</x:v>
      </x:c>
      <x:c r="K14" s="243" t="str">
        <x:v>V0.1</x:v>
      </x:c>
      <x:c r="L14" s="243" t="str">
        <x:v>初始预设主题，本轮未出现</x:v>
      </x:c>
      <x:c r="M14" s="234"/>
      <x:c r="N14" s="237" t="str">
        <x:v>冻结信息</x:v>
      </x:c>
      <x:c r="O14" s="237"/>
      <x:c r="P14" s="237"/>
      <x:c r="Q14" s="237"/>
      <x:c r="R14" s="234"/>
      <x:c r="S14" s="234"/>
      <x:c r="T14" s="234"/>
    </x:row>
    <x:row r="15" ht="44" customHeight="1">
      <x:c r="A15" s="243" t="str">
        <x:v>TH-11</x:v>
      </x:c>
      <x:c r="B15" s="243" t="str">
        <x:v>通用主题</x:v>
      </x:c>
      <x:c r="C15" s="243" t="str">
        <x:v>新出现主题</x:v>
      </x:c>
      <x:c r="D15" s="243" t="str">
        <x:v>主题级定义</x:v>
      </x:c>
      <x:c r="E15" s="243" t="str">
        <x:v>无法归入现有主题且具有独立意义的新问题</x:v>
      </x:c>
      <x:c r="F15" s="243" t="str">
        <x:v>有充分原话支持且不符合TH-01至TH-10</x:v>
      </x:c>
      <x:c r="G15" s="243" t="str">
        <x:v>信息不足或仅无法判断</x:v>
      </x:c>
      <x:c r="H15" s="243" t="str"/>
      <x:c r="I15" s="243" t="str">
        <x:v>Q17开放字段</x:v>
      </x:c>
      <x:c r="J15" s="243" t="str">
        <x:v>未启用</x:v>
      </x:c>
      <x:c r="K15" s="243" t="str">
        <x:v>V0.1</x:v>
      </x:c>
      <x:c r="L15" s="243" t="str">
        <x:v>不得用来收纳信息不足记录</x:v>
      </x:c>
      <x:c r="M15" s="234"/>
      <x:c r="N15" s="242" t="str">
        <x:v>项目</x:v>
      </x:c>
      <x:c r="O15" s="242" t="str">
        <x:v>内容</x:v>
      </x:c>
      <x:c r="P15" s="242" t="str"/>
      <x:c r="Q15" s="242" t="str"/>
      <x:c r="R15" s="234"/>
      <x:c r="S15" s="234"/>
      <x:c r="T15" s="234"/>
    </x:row>
    <x:row r="16" ht="44" customHeight="1">
      <x:c r="A16" s="243" t="str">
        <x:v>BL-01</x:v>
      </x:c>
      <x:c r="B16" s="243" t="str">
        <x:v>主要卡点</x:v>
      </x:c>
      <x:c r="C16" s="243" t="str">
        <x:v>数据与路径</x:v>
      </x:c>
      <x:c r="D16" s="243" t="str">
        <x:v>数据访问审批流程</x:v>
      </x:c>
      <x:c r="E16" s="243" t="str">
        <x:v>数据访问申请或审批流程造成阻碍</x:v>
      </x:c>
      <x:c r="F16" s="243" t="str">
        <x:v>明确提及审批、权限或访问流程问题</x:v>
      </x:c>
      <x:c r="G16" s="243" t="str">
        <x:v>普通网页交互问题且与数据访问无关</x:v>
      </x:c>
      <x:c r="H16" s="243" t="str">
        <x:v>官网审批交互不合理</x:v>
      </x:c>
      <x:c r="I16" s="243" t="str">
        <x:v>Q17_主要卡点_原始</x:v>
      </x:c>
      <x:c r="J16" s="243" t="str">
        <x:v>使用中</x:v>
      </x:c>
      <x:c r="K16" s="243" t="str">
        <x:v>V0.1</x:v>
      </x:c>
      <x:c r="L16" s="243" t="str"/>
      <x:c r="M16" s="234"/>
      <x:c r="N16" s="246" t="str">
        <x:v>代码本版本</x:v>
      </x:c>
      <x:c r="O16" s="246" t="str">
        <x:v>V0.1</x:v>
      </x:c>
      <x:c r="P16" s="246" t="str"/>
      <x:c r="Q16" s="246" t="str"/>
      <x:c r="R16" s="234"/>
      <x:c r="S16" s="234"/>
      <x:c r="T16" s="234"/>
    </x:row>
    <x:row r="17" ht="44" customHeight="1">
      <x:c r="A17" s="243" t="str">
        <x:v>BL-02</x:v>
      </x:c>
      <x:c r="B17" s="243" t="str">
        <x:v>主要卡点</x:v>
      </x:c>
      <x:c r="C17" s="243" t="str">
        <x:v>资产完整性</x:v>
      </x:c>
      <x:c r="D17" s="243" t="str">
        <x:v>源码或实现说明不足</x:v>
      </x:c>
      <x:c r="E17" s="243" t="str">
        <x:v>缺少足以理解方案流程的源码或实现说明</x:v>
      </x:c>
      <x:c r="F17" s="243" t="str">
        <x:v>明确提及方案流程、源码或实现材料不足</x:v>
      </x:c>
      <x:c r="G17" s="243" t="str">
        <x:v>环境配置、数据下载或运行报错</x:v>
      </x:c>
      <x:c r="H17" s="243" t="str">
        <x:v>方案流程设计</x:v>
      </x:c>
      <x:c r="I17" s="243" t="str">
        <x:v>Q17_主要卡点_原始</x:v>
      </x:c>
      <x:c r="J17" s="243" t="str">
        <x:v>使用中</x:v>
      </x:c>
      <x:c r="K17" s="243" t="str">
        <x:v>V0.1</x:v>
      </x:c>
      <x:c r="L17" s="243" t="str"/>
      <x:c r="M17" s="234"/>
      <x:c r="N17" s="246" t="str">
        <x:v>冻结状态</x:v>
      </x:c>
      <x:c r="O17" s="246" t="str">
        <x:v>已冻结</x:v>
      </x:c>
      <x:c r="P17" s="246" t="str"/>
      <x:c r="Q17" s="246" t="str"/>
      <x:c r="R17" s="234"/>
      <x:c r="S17" s="234"/>
      <x:c r="T17" s="234"/>
    </x:row>
    <x:row r="18" ht="44" customHeight="1">
      <x:c r="A18" s="243" t="str">
        <x:v>BL-03</x:v>
      </x:c>
      <x:c r="B18" s="243" t="str">
        <x:v>主要卡点</x:v>
      </x:c>
      <x:c r="C18" s="243" t="str">
        <x:v>算力适配</x:v>
      </x:c>
      <x:c r="D18" s="243" t="str">
        <x:v>显存不足</x:v>
      </x:c>
      <x:c r="E18" s="243" t="str">
        <x:v>可用GPU显存无法支撑任务</x:v>
      </x:c>
      <x:c r="F18" s="243" t="str">
        <x:v>明确提及显存或GPU内存不足</x:v>
      </x:c>
      <x:c r="G18" s="243" t="str">
        <x:v>依赖冲突、磁盘路径或数据权限</x:v>
      </x:c>
      <x:c r="H18" s="243" t="str">
        <x:v>服务器显卡内存不足</x:v>
      </x:c>
      <x:c r="I18" s="243" t="str">
        <x:v>Q17_主要卡点_原始</x:v>
      </x:c>
      <x:c r="J18" s="243" t="str">
        <x:v>使用中</x:v>
      </x:c>
      <x:c r="K18" s="243" t="str">
        <x:v>V0.1</x:v>
      </x:c>
      <x:c r="L18" s="243" t="str"/>
      <x:c r="M18" s="234"/>
      <x:c r="N18" s="246" t="str">
        <x:v>允许状态值</x:v>
      </x:c>
      <x:c r="O18" s="246" t="str">
        <x:v>使用中 / 待复核 / 未启用 / 停用</x:v>
      </x:c>
      <x:c r="P18" s="246" t="str"/>
      <x:c r="Q18" s="246" t="str"/>
      <x:c r="R18" s="234"/>
      <x:c r="S18" s="234"/>
      <x:c r="T18" s="234"/>
    </x:row>
    <x:row r="19" ht="44" customHeight="1">
      <x:c r="A19" s="243" t="str">
        <x:v>BL-04</x:v>
      </x:c>
      <x:c r="B19" s="243" t="str">
        <x:v>主要卡点</x:v>
      </x:c>
      <x:c r="C19" s="243" t="str">
        <x:v>数据与路径</x:v>
      </x:c>
      <x:c r="D19" s="243" t="str">
        <x:v>数据集获取</x:v>
      </x:c>
      <x:c r="E19" s="243" t="str">
        <x:v>无法获得所需数据集</x:v>
      </x:c>
      <x:c r="F19" s="243" t="str">
        <x:v>明确提及数据集获取或访问困难</x:v>
      </x:c>
      <x:c r="G19" s="243" t="str">
        <x:v>权重未公开或配置参数错误</x:v>
      </x:c>
      <x:c r="H19" s="243" t="str">
        <x:v>数据集获取</x:v>
      </x:c>
      <x:c r="I19" s="243" t="str">
        <x:v>Q17_主要卡点_原始</x:v>
      </x:c>
      <x:c r="J19" s="243" t="str">
        <x:v>使用中</x:v>
      </x:c>
      <x:c r="K19" s="243" t="str">
        <x:v>V0.1</x:v>
      </x:c>
      <x:c r="L19" s="243" t="str"/>
      <x:c r="M19" s="234"/>
      <x:c r="N19" s="246" t="str">
        <x:v>变更规则</x:v>
      </x:c>
      <x:c r="O19" s="246" t="str">
        <x:v>必须记录修订日期、原因及统计影响</x:v>
      </x:c>
      <x:c r="P19" s="246" t="str"/>
      <x:c r="Q19" s="246" t="str"/>
      <x:c r="R19" s="234"/>
      <x:c r="S19" s="234"/>
      <x:c r="T19" s="234"/>
    </x:row>
    <x:row r="20" ht="44" customHeight="1">
      <x:c r="A20" s="243" t="str">
        <x:v>BL-05</x:v>
      </x:c>
      <x:c r="B20" s="243" t="str">
        <x:v>主要卡点</x:v>
      </x:c>
      <x:c r="C20" s="243" t="str">
        <x:v>资产完整性</x:v>
      </x:c>
      <x:c r="D20" s="243" t="str">
        <x:v>论文方法描述不完整</x:v>
      </x:c>
      <x:c r="E20" s="243" t="str">
        <x:v>论文方法或框架描述不足以复现</x:v>
      </x:c>
      <x:c r="F20" s="243" t="str">
        <x:v>明确提及论文描述模糊或缺步骤</x:v>
      </x:c>
      <x:c r="G20" s="243" t="str">
        <x:v>代码运行报错但未指向文档问题</x:v>
      </x:c>
      <x:c r="H20" s="243" t="str">
        <x:v>论文框架描述模棱两可</x:v>
      </x:c>
      <x:c r="I20" s="243" t="str">
        <x:v>Q17_主要卡点_原始</x:v>
      </x:c>
      <x:c r="J20" s="243" t="str">
        <x:v>使用中</x:v>
      </x:c>
      <x:c r="K20" s="243" t="str">
        <x:v>V0.1</x:v>
      </x:c>
      <x:c r="L20" s="243" t="str"/>
      <x:c r="M20" s="234"/>
      <x:c r="N20" s="234"/>
      <x:c r="O20" s="234"/>
      <x:c r="P20" s="234"/>
      <x:c r="Q20" s="234"/>
      <x:c r="R20" s="234"/>
      <x:c r="S20" s="234"/>
      <x:c r="T20" s="234"/>
    </x:row>
    <x:row r="21" ht="44" customHeight="1">
      <x:c r="A21" s="243" t="str">
        <x:v>BL-06</x:v>
      </x:c>
      <x:c r="B21" s="243" t="str">
        <x:v>主要卡点</x:v>
      </x:c>
      <x:c r="C21" s="243" t="str">
        <x:v>权重与配置</x:v>
      </x:c>
      <x:c r="D21" s="243" t="str">
        <x:v>预训练权重未公开</x:v>
      </x:c>
      <x:c r="E21" s="243" t="str">
        <x:v>项目未提供需要的模型权重</x:v>
      </x:c>
      <x:c r="F21" s="243" t="str">
        <x:v>明确提及权重/checkpoint未公开或缺失</x:v>
      </x:c>
      <x:c r="G21" s="243" t="str">
        <x:v>数据集缺失或依赖不兼容</x:v>
      </x:c>
      <x:c r="H21" s="243" t="str">
        <x:v>权重未公开</x:v>
      </x:c>
      <x:c r="I21" s="243" t="str">
        <x:v>Q17_主要卡点_原始</x:v>
      </x:c>
      <x:c r="J21" s="243" t="str">
        <x:v>使用中</x:v>
      </x:c>
      <x:c r="K21" s="243" t="str">
        <x:v>V0.1</x:v>
      </x:c>
      <x:c r="L21" s="243" t="str"/>
      <x:c r="M21" s="234"/>
      <x:c r="N21" s="234"/>
      <x:c r="O21" s="234"/>
      <x:c r="P21" s="234"/>
      <x:c r="Q21" s="234"/>
      <x:c r="R21" s="234"/>
      <x:c r="S21" s="234"/>
      <x:c r="T21" s="234"/>
    </x:row>
    <x:row r="22" ht="44" customHeight="1">
      <x:c r="A22" s="243" t="str">
        <x:v>BL-07</x:v>
      </x:c>
      <x:c r="B22" s="243" t="str">
        <x:v>主要卡点</x:v>
      </x:c>
      <x:c r="C22" s="243" t="str">
        <x:v>算力适配</x:v>
      </x:c>
      <x:c r="D22" s="243" t="str">
        <x:v>训练时间过长</x:v>
      </x:c>
      <x:c r="E22" s="243" t="str">
        <x:v>实际或预计训练耗时造成阻碍</x:v>
      </x:c>
      <x:c r="F22" s="243" t="str">
        <x:v>明确提及训练时间过长或长期占用资源</x:v>
      </x:c>
      <x:c r="G22" s="243" t="str">
        <x:v>下载慢、预处理慢或评测等待</x:v>
      </x:c>
      <x:c r="H22" s="243" t="str">
        <x:v>公开数据集上训练时间长</x:v>
      </x:c>
      <x:c r="I22" s="243" t="str">
        <x:v>Q17_主要卡点_原始</x:v>
      </x:c>
      <x:c r="J22" s="243" t="str">
        <x:v>使用中</x:v>
      </x:c>
      <x:c r="K22" s="243" t="str">
        <x:v>V0.1</x:v>
      </x:c>
      <x:c r="L22" s="243" t="str"/>
      <x:c r="M22" s="234"/>
      <x:c r="N22" s="234"/>
      <x:c r="O22" s="234"/>
      <x:c r="P22" s="234"/>
      <x:c r="Q22" s="234"/>
      <x:c r="R22" s="234"/>
      <x:c r="S22" s="234"/>
      <x:c r="T22" s="234"/>
    </x:row>
    <x:row r="23" ht="44" customHeight="1">
      <x:c r="A23" s="243" t="str">
        <x:v>BL-08</x:v>
      </x:c>
      <x:c r="B23" s="243" t="str">
        <x:v>主要卡点</x:v>
      </x:c>
      <x:c r="C23" s="243" t="str">
        <x:v>数据与路径</x:v>
      </x:c>
      <x:c r="D23" s="243" t="str">
        <x:v>数据下载与预处理</x:v>
      </x:c>
      <x:c r="E23" s="243" t="str">
        <x:v>数据下载或预处理环节造成阻碍</x:v>
      </x:c>
      <x:c r="F23" s="243" t="str">
        <x:v>明确提及下载、清洗、转换或预处理</x:v>
      </x:c>
      <x:c r="G23" s="243" t="str">
        <x:v>模型权重下载或环境安装</x:v>
      </x:c>
      <x:c r="H23" s="243" t="str">
        <x:v>数据集下载和预处理</x:v>
      </x:c>
      <x:c r="I23" s="243" t="str">
        <x:v>Q17_主要卡点_原始</x:v>
      </x:c>
      <x:c r="J23" s="243" t="str">
        <x:v>使用中</x:v>
      </x:c>
      <x:c r="K23" s="243" t="str">
        <x:v>V0.1</x:v>
      </x:c>
      <x:c r="L23" s="243" t="str"/>
      <x:c r="M23" s="234"/>
      <x:c r="N23" s="234"/>
      <x:c r="O23" s="234"/>
      <x:c r="P23" s="234"/>
      <x:c r="Q23" s="234"/>
      <x:c r="R23" s="234"/>
      <x:c r="S23" s="234"/>
      <x:c r="T23" s="234"/>
    </x:row>
    <x:row r="24" ht="44" customHeight="1">
      <x:c r="A24" s="243" t="str">
        <x:v>BL-09</x:v>
      </x:c>
      <x:c r="B24" s="243" t="str">
        <x:v>主要卡点</x:v>
      </x:c>
      <x:c r="C24" s="243" t="str">
        <x:v>环境兼容性</x:v>
      </x:c>
      <x:c r="D24" s="243" t="str">
        <x:v>环境配置</x:v>
      </x:c>
      <x:c r="E24" s="243" t="str">
        <x:v>运行环境配置本身构成卡点</x:v>
      </x:c>
      <x:c r="F24" s="243" t="str">
        <x:v>明确提及环境配置或版本安装问题</x:v>
      </x:c>
      <x:c r="G24" s="243" t="str">
        <x:v>泛化代码报错且环境原因不明</x:v>
      </x:c>
      <x:c r="H24" s="243" t="str">
        <x:v>环境配置</x:v>
      </x:c>
      <x:c r="I24" s="243" t="str">
        <x:v>Q17_主要卡点_原始</x:v>
      </x:c>
      <x:c r="J24" s="243" t="str">
        <x:v>使用中</x:v>
      </x:c>
      <x:c r="K24" s="243" t="str">
        <x:v>V0.1</x:v>
      </x:c>
      <x:c r="L24" s="243" t="str"/>
      <x:c r="M24" s="234"/>
      <x:c r="N24" s="234"/>
      <x:c r="O24" s="234"/>
      <x:c r="P24" s="234"/>
      <x:c r="Q24" s="234"/>
      <x:c r="R24" s="234"/>
      <x:c r="S24" s="234"/>
      <x:c r="T24" s="234"/>
    </x:row>
    <x:row r="25" ht="44" customHeight="1">
      <x:c r="A25" s="243" t="str">
        <x:v>AC-01</x:v>
      </x:c>
      <x:c r="B25" s="243" t="str">
        <x:v>处理方式</x:v>
      </x:c>
      <x:c r="C25" s="243" t="str">
        <x:v>数据与路径</x:v>
      </x:c>
      <x:c r="D25" s="243" t="str">
        <x:v>搜索引擎检索</x:v>
      </x:c>
      <x:c r="E25" s="243" t="str">
        <x:v>使用搜索引擎查找解决信息</x:v>
      </x:c>
      <x:c r="F25" s="243" t="str">
        <x:v>明确提及搜索引擎检索</x:v>
      </x:c>
      <x:c r="G25" s="243" t="str">
        <x:v>仅浏览项目文档</x:v>
      </x:c>
      <x:c r="H25" s="243" t="str">
        <x:v>搜索引擎检索</x:v>
      </x:c>
      <x:c r="I25" s="243" t="str">
        <x:v>Q17_尝试处理方式_原始</x:v>
      </x:c>
      <x:c r="J25" s="243" t="str">
        <x:v>使用中</x:v>
      </x:c>
      <x:c r="K25" s="243" t="str">
        <x:v>V0.1</x:v>
      </x:c>
      <x:c r="L25" s="243" t="str">
        <x:v>使用人数按sample_id+二级代码去重</x:v>
      </x:c>
      <x:c r="M25" s="234"/>
      <x:c r="N25" s="234"/>
      <x:c r="O25" s="234"/>
      <x:c r="P25" s="234"/>
      <x:c r="Q25" s="234"/>
      <x:c r="R25" s="234"/>
      <x:c r="S25" s="234"/>
      <x:c r="T25" s="234"/>
    </x:row>
    <x:row r="26" ht="44" customHeight="1">
      <x:c r="A26" s="243" t="str">
        <x:v>AC-02</x:v>
      </x:c>
      <x:c r="B26" s="243" t="str">
        <x:v>处理方式</x:v>
      </x:c>
      <x:c r="C26" s="243" t="str">
        <x:v>多主题适用</x:v>
      </x:c>
      <x:c r="D26" s="243" t="str">
        <x:v>询问大模型</x:v>
      </x:c>
      <x:c r="E26" s="243" t="str">
        <x:v>向通用大模型或AI助手求助</x:v>
      </x:c>
      <x:c r="F26" s="243" t="str">
        <x:v>明确提及AI/大模型辅助</x:v>
      </x:c>
      <x:c r="G26" s="243" t="str">
        <x:v>AI用于训练模型而非求助</x:v>
      </x:c>
      <x:c r="H26" s="243" t="str">
        <x:v>大模型提问</x:v>
      </x:c>
      <x:c r="I26" s="243" t="str">
        <x:v>Q17_尝试处理方式_原始</x:v>
      </x:c>
      <x:c r="J26" s="243" t="str">
        <x:v>使用中</x:v>
      </x:c>
      <x:c r="K26" s="243" t="str">
        <x:v>V0.1</x:v>
      </x:c>
      <x:c r="L26" s="243" t="str">
        <x:v>使用人数按sample_id+二级代码去重</x:v>
      </x:c>
      <x:c r="M26" s="234"/>
      <x:c r="N26" s="234"/>
      <x:c r="O26" s="234"/>
      <x:c r="P26" s="234"/>
      <x:c r="Q26" s="234"/>
      <x:c r="R26" s="234"/>
      <x:c r="S26" s="234"/>
      <x:c r="T26" s="234"/>
    </x:row>
    <x:row r="27" ht="44" customHeight="1">
      <x:c r="A27" s="243" t="str">
        <x:v>AC-03</x:v>
      </x:c>
      <x:c r="B27" s="243" t="str">
        <x:v>处理方式</x:v>
      </x:c>
      <x:c r="C27" s="243" t="str">
        <x:v>算力适配</x:v>
      </x:c>
      <x:c r="D27" s="243" t="str">
        <x:v>升级服务器资源</x:v>
      </x:c>
      <x:c r="E27" s="243" t="str">
        <x:v>付费或调整服务器以增加资源</x:v>
      </x:c>
      <x:c r="F27" s="243" t="str">
        <x:v>明确提及升级服务器或资源</x:v>
      </x:c>
      <x:c r="G27" s="243" t="str">
        <x:v>仅降低批大小</x:v>
      </x:c>
      <x:c r="H27" s="243" t="str">
        <x:v>花钱升级服务器</x:v>
      </x:c>
      <x:c r="I27" s="243" t="str">
        <x:v>Q17_尝试处理方式_原始</x:v>
      </x:c>
      <x:c r="J27" s="243" t="str">
        <x:v>使用中</x:v>
      </x:c>
      <x:c r="K27" s="243" t="str">
        <x:v>V0.1</x:v>
      </x:c>
      <x:c r="L27" s="243" t="str">
        <x:v>使用人数按sample_id+二级代码去重</x:v>
      </x:c>
      <x:c r="M27" s="234"/>
      <x:c r="N27" s="234"/>
      <x:c r="O27" s="234"/>
      <x:c r="P27" s="234"/>
      <x:c r="Q27" s="234"/>
      <x:c r="R27" s="234"/>
      <x:c r="S27" s="234"/>
      <x:c r="T27" s="234"/>
    </x:row>
    <x:row r="28" ht="44" customHeight="1">
      <x:c r="A28" s="243" t="str">
        <x:v>AC-04</x:v>
      </x:c>
      <x:c r="B28" s="243" t="str">
        <x:v>处理方式</x:v>
      </x:c>
      <x:c r="C28" s="243" t="str">
        <x:v>未明确对应问题</x:v>
      </x:c>
      <x:c r="D28" s="243" t="str">
        <x:v>使用AI修改代码</x:v>
      </x:c>
      <x:c r="E28" s="243" t="str">
        <x:v>使用AI直接辅助修改代码</x:v>
      </x:c>
      <x:c r="F28" s="243" t="str">
        <x:v>明确提及AI改代码</x:v>
      </x:c>
      <x:c r="G28" s="243" t="str">
        <x:v>仅向AI询问信息</x:v>
      </x:c>
      <x:c r="H28" s="243" t="str">
        <x:v>AI修改代码</x:v>
      </x:c>
      <x:c r="I28" s="243" t="str">
        <x:v>Q17_尝试处理方式_原始</x:v>
      </x:c>
      <x:c r="J28" s="243" t="str">
        <x:v>使用中</x:v>
      </x:c>
      <x:c r="K28" s="243" t="str">
        <x:v>V0.1</x:v>
      </x:c>
      <x:c r="L28" s="243" t="str">
        <x:v>使用人数按sample_id+二级代码去重</x:v>
      </x:c>
      <x:c r="M28" s="234"/>
      <x:c r="N28" s="234"/>
      <x:c r="O28" s="234"/>
      <x:c r="P28" s="234"/>
      <x:c r="Q28" s="234"/>
      <x:c r="R28" s="234"/>
      <x:c r="S28" s="234"/>
      <x:c r="T28" s="234"/>
    </x:row>
    <x:row r="29" ht="44" customHeight="1">
      <x:c r="A29" s="243" t="str">
        <x:v>AC-05</x:v>
      </x:c>
      <x:c r="B29" s="243" t="str">
        <x:v>处理方式</x:v>
      </x:c>
      <x:c r="C29" s="243" t="str">
        <x:v>数据与路径</x:v>
      </x:c>
      <x:c r="D29" s="243" t="str">
        <x:v>查找公开数据集</x:v>
      </x:c>
      <x:c r="E29" s="243" t="str">
        <x:v>寻找可替代或可访问的公开数据</x:v>
      </x:c>
      <x:c r="F29" s="243" t="str">
        <x:v>明确提及查询公开数据集</x:v>
      </x:c>
      <x:c r="G29" s="243" t="str">
        <x:v>下载已确定的数据集</x:v>
      </x:c>
      <x:c r="H29" s="243" t="str">
        <x:v>查询公开数据集</x:v>
      </x:c>
      <x:c r="I29" s="243" t="str">
        <x:v>Q17_尝试处理方式_原始</x:v>
      </x:c>
      <x:c r="J29" s="243" t="str">
        <x:v>使用中</x:v>
      </x:c>
      <x:c r="K29" s="243" t="str">
        <x:v>V0.1</x:v>
      </x:c>
      <x:c r="L29" s="243" t="str">
        <x:v>使用人数按sample_id+二级代码去重</x:v>
      </x:c>
      <x:c r="M29" s="234"/>
      <x:c r="N29" s="234"/>
      <x:c r="O29" s="234"/>
      <x:c r="P29" s="234"/>
      <x:c r="Q29" s="234"/>
      <x:c r="R29" s="234"/>
      <x:c r="S29" s="234"/>
      <x:c r="T29" s="234"/>
    </x:row>
    <x:row r="30" ht="44" customHeight="1">
      <x:c r="A30" s="243" t="str">
        <x:v>AC-06</x:v>
      </x:c>
      <x:c r="B30" s="243" t="str">
        <x:v>处理方式</x:v>
      </x:c>
      <x:c r="C30" s="243" t="str">
        <x:v>数据与路径</x:v>
      </x:c>
      <x:c r="D30" s="243" t="str">
        <x:v>向导师求助</x:v>
      </x:c>
      <x:c r="E30" s="243" t="str">
        <x:v>向导师寻求问题处理帮助</x:v>
      </x:c>
      <x:c r="F30" s="243" t="str">
        <x:v>明确提及询问导师</x:v>
      </x:c>
      <x:c r="G30" s="243" t="str">
        <x:v>只分享结果未求助</x:v>
      </x:c>
      <x:c r="H30" s="243" t="str">
        <x:v>询问导师</x:v>
      </x:c>
      <x:c r="I30" s="243" t="str">
        <x:v>Q17_尝试处理方式_原始</x:v>
      </x:c>
      <x:c r="J30" s="243" t="str">
        <x:v>使用中</x:v>
      </x:c>
      <x:c r="K30" s="243" t="str">
        <x:v>V0.1</x:v>
      </x:c>
      <x:c r="L30" s="243" t="str">
        <x:v>使用人数按sample_id+二级代码去重</x:v>
      </x:c>
      <x:c r="M30" s="234"/>
      <x:c r="N30" s="234"/>
      <x:c r="O30" s="234"/>
      <x:c r="P30" s="234"/>
      <x:c r="Q30" s="234"/>
      <x:c r="R30" s="234"/>
      <x:c r="S30" s="234"/>
      <x:c r="T30" s="234"/>
    </x:row>
    <x:row r="31" ht="44" customHeight="1">
      <x:c r="A31" s="243" t="str">
        <x:v>AC-07</x:v>
      </x:c>
      <x:c r="B31" s="243" t="str">
        <x:v>处理方式</x:v>
      </x:c>
      <x:c r="C31" s="243" t="str">
        <x:v>资产完整性</x:v>
      </x:c>
      <x:c r="D31" s="243" t="str">
        <x:v>测试多条技术路线</x:v>
      </x:c>
      <x:c r="E31" s="243" t="str">
        <x:v>尝试多种实现或技术路线</x:v>
      </x:c>
      <x:c r="F31" s="243" t="str">
        <x:v>明确提及测试多个路线</x:v>
      </x:c>
      <x:c r="G31" s="243" t="str">
        <x:v>重复运行同一路线</x:v>
      </x:c>
      <x:c r="H31" s="243" t="str">
        <x:v>测试所有可能的技术路线</x:v>
      </x:c>
      <x:c r="I31" s="243" t="str">
        <x:v>Q17_尝试处理方式_原始</x:v>
      </x:c>
      <x:c r="J31" s="243" t="str">
        <x:v>使用中</x:v>
      </x:c>
      <x:c r="K31" s="243" t="str">
        <x:v>V0.1</x:v>
      </x:c>
      <x:c r="L31" s="243" t="str">
        <x:v>使用人数按sample_id+二级代码去重</x:v>
      </x:c>
      <x:c r="M31" s="234"/>
      <x:c r="N31" s="234"/>
      <x:c r="O31" s="234"/>
      <x:c r="P31" s="234"/>
      <x:c r="Q31" s="234"/>
      <x:c r="R31" s="234"/>
      <x:c r="S31" s="234"/>
      <x:c r="T31" s="234"/>
    </x:row>
    <x:row r="32" ht="44" customHeight="1">
      <x:c r="A32" s="243" t="str">
        <x:v>AC-08</x:v>
      </x:c>
      <x:c r="B32" s="243" t="str">
        <x:v>处理方式</x:v>
      </x:c>
      <x:c r="C32" s="243" t="str">
        <x:v>权重与配置</x:v>
      </x:c>
      <x:c r="D32" s="243" t="str">
        <x:v>联系作者</x:v>
      </x:c>
      <x:c r="E32" s="243" t="str">
        <x:v>联系论文或项目作者求助</x:v>
      </x:c>
      <x:c r="F32" s="243" t="str">
        <x:v>明确提及联系作者</x:v>
      </x:c>
      <x:c r="G32" s="243" t="str">
        <x:v>仅查看作者公开资料</x:v>
      </x:c>
      <x:c r="H32" s="243" t="str">
        <x:v>联系作者</x:v>
      </x:c>
      <x:c r="I32" s="243" t="str">
        <x:v>Q17_尝试处理方式_原始</x:v>
      </x:c>
      <x:c r="J32" s="243" t="str">
        <x:v>使用中</x:v>
      </x:c>
      <x:c r="K32" s="243" t="str">
        <x:v>V0.1</x:v>
      </x:c>
      <x:c r="L32" s="243" t="str">
        <x:v>使用人数按sample_id+二级代码去重</x:v>
      </x:c>
      <x:c r="M32" s="234"/>
      <x:c r="N32" s="234"/>
      <x:c r="O32" s="234"/>
      <x:c r="P32" s="234"/>
      <x:c r="Q32" s="234"/>
      <x:c r="R32" s="234"/>
      <x:c r="S32" s="234"/>
      <x:c r="T32" s="234"/>
    </x:row>
    <x:row r="33" ht="44" customHeight="1">
      <x:c r="A33" s="243" t="str">
        <x:v>AC-09</x:v>
      </x:c>
      <x:c r="B33" s="243" t="str">
        <x:v>处理方式</x:v>
      </x:c>
      <x:c r="C33" s="243" t="str">
        <x:v>算力适配</x:v>
      </x:c>
      <x:c r="D33" s="243" t="str">
        <x:v>迁移至更大内存服务器</x:v>
      </x:c>
      <x:c r="E33" s="243" t="str">
        <x:v>将任务迁移到资源更大的服务器</x:v>
      </x:c>
      <x:c r="F33" s="243" t="str">
        <x:v>明确提及迁移到更大内存服务器</x:v>
      </x:c>
      <x:c r="G33" s="243" t="str">
        <x:v>原服务器内升级软件</x:v>
      </x:c>
      <x:c r="H33" s="243" t="str">
        <x:v>转移到内存更大的服务器</x:v>
      </x:c>
      <x:c r="I33" s="243" t="str">
        <x:v>Q17_尝试处理方式_原始</x:v>
      </x:c>
      <x:c r="J33" s="243" t="str">
        <x:v>使用中</x:v>
      </x:c>
      <x:c r="K33" s="243" t="str">
        <x:v>V0.1</x:v>
      </x:c>
      <x:c r="L33" s="243" t="str">
        <x:v>使用人数按sample_id+二级代码去重</x:v>
      </x:c>
      <x:c r="M33" s="234"/>
      <x:c r="N33" s="234"/>
      <x:c r="O33" s="234"/>
      <x:c r="P33" s="234"/>
      <x:c r="Q33" s="234"/>
      <x:c r="R33" s="234"/>
      <x:c r="S33" s="234"/>
      <x:c r="T33" s="234"/>
    </x:row>
    <x:row r="34" ht="44" customHeight="1">
      <x:c r="A34" s="243" t="str">
        <x:v>AC-10</x:v>
      </x:c>
      <x:c r="B34" s="243" t="str">
        <x:v>处理方式</x:v>
      </x:c>
      <x:c r="C34" s="243" t="str">
        <x:v>数据与路径</x:v>
      </x:c>
      <x:c r="D34" s="243" t="str">
        <x:v>重新下载和预处理数据</x:v>
      </x:c>
      <x:c r="E34" s="243" t="str">
        <x:v>在新环境重新执行下载和预处理</x:v>
      </x:c>
      <x:c r="F34" s="243" t="str">
        <x:v>明确提及重新下载或预处理</x:v>
      </x:c>
      <x:c r="G34" s="243" t="str">
        <x:v>仅修改数据路径</x:v>
      </x:c>
      <x:c r="H34" s="243" t="str">
        <x:v>在新服务器上进行下载和预处理</x:v>
      </x:c>
      <x:c r="I34" s="243" t="str">
        <x:v>Q17_尝试处理方式_原始</x:v>
      </x:c>
      <x:c r="J34" s="243" t="str">
        <x:v>使用中</x:v>
      </x:c>
      <x:c r="K34" s="243" t="str">
        <x:v>V0.1</x:v>
      </x:c>
      <x:c r="L34" s="243" t="str">
        <x:v>使用人数按sample_id+二级代码去重</x:v>
      </x:c>
      <x:c r="M34" s="234"/>
      <x:c r="N34" s="234"/>
      <x:c r="O34" s="234"/>
      <x:c r="P34" s="234"/>
      <x:c r="Q34" s="234"/>
      <x:c r="R34" s="234"/>
      <x:c r="S34" s="234"/>
      <x:c r="T34" s="234"/>
    </x:row>
    <x:row r="35" ht="44" customHeight="1">
      <x:c r="A35" s="243" t="str">
        <x:v>AC-11</x:v>
      </x:c>
      <x:c r="B35" s="243" t="str">
        <x:v>处理方式</x:v>
      </x:c>
      <x:c r="C35" s="243" t="str">
        <x:v>不适用</x:v>
      </x:c>
      <x:c r="D35" s="243" t="str">
        <x:v>未采取处理方式</x:v>
      </x:c>
      <x:c r="E35" s="243" t="str">
        <x:v>明确记录未采取任何处理行动的反例</x:v>
      </x:c>
      <x:c r="F35" s="243" t="str">
        <x:v>原话为无/未处理</x:v>
      </x:c>
      <x:c r="G35" s="243" t="str">
        <x:v>存在任一实际处理动作</x:v>
      </x:c>
      <x:c r="H35" s="243" t="str">
        <x:v>无</x:v>
      </x:c>
      <x:c r="I35" s="243" t="str">
        <x:v>Q17_尝试处理方式_原始</x:v>
      </x:c>
      <x:c r="J35" s="243" t="str">
        <x:v>使用中</x:v>
      </x:c>
      <x:c r="K35" s="243" t="str">
        <x:v>V0.1</x:v>
      </x:c>
      <x:c r="L35" s="243" t="str">
        <x:v>反例；处理结果=不适用；不计入实际动作总数</x:v>
      </x:c>
      <x:c r="M35" s="234"/>
      <x:c r="N35" s="234"/>
      <x:c r="O35" s="234"/>
      <x:c r="P35" s="234"/>
      <x:c r="Q35" s="234"/>
      <x:c r="R35" s="234"/>
      <x:c r="S35" s="234"/>
      <x:c r="T35" s="234"/>
    </x:row>
    <x:row r="36" ht="44" customHeight="1">
      <x:c r="A36" s="243" t="str">
        <x:v>ND-01</x:v>
      </x:c>
      <x:c r="B36" s="243" t="str">
        <x:v>提前信息需求</x:v>
      </x:c>
      <x:c r="C36" s="243" t="str">
        <x:v>数据与路径</x:v>
      </x:c>
      <x:c r="D36" s="243" t="str">
        <x:v>数据访问审批流程</x:v>
      </x:c>
      <x:c r="E36" s="243" t="str">
        <x:v>希望提前获得数据访问审批步骤</x:v>
      </x:c>
      <x:c r="F36" s="243" t="str">
        <x:v>提及审批流程或申请细节</x:v>
      </x:c>
      <x:c r="G36" s="243" t="str">
        <x:v>一般数据规模或格式</x:v>
      </x:c>
      <x:c r="H36" s="243" t="str">
        <x:v>知道官网审批的细节流程</x:v>
      </x:c>
      <x:c r="I36" s="243" t="str">
        <x:v>Q17_希望提前知道的信息_原始</x:v>
      </x:c>
      <x:c r="J36" s="243" t="str">
        <x:v>使用中</x:v>
      </x:c>
      <x:c r="K36" s="243" t="str">
        <x:v>V0.1</x:v>
      </x:c>
      <x:c r="L36" s="243" t="str">
        <x:v>产品承载方式必须与事实分列</x:v>
      </x:c>
      <x:c r="M36" s="234"/>
      <x:c r="N36" s="234"/>
      <x:c r="O36" s="234"/>
      <x:c r="P36" s="234"/>
      <x:c r="Q36" s="234"/>
      <x:c r="R36" s="234"/>
      <x:c r="S36" s="234"/>
      <x:c r="T36" s="234"/>
    </x:row>
    <x:row r="37" ht="44" customHeight="1">
      <x:c r="A37" s="243" t="str">
        <x:v>ND-02</x:v>
      </x:c>
      <x:c r="B37" s="243" t="str">
        <x:v>提前信息需求</x:v>
      </x:c>
      <x:c r="C37" s="243" t="str">
        <x:v>资产完整性</x:v>
      </x:c>
      <x:c r="D37" s="243" t="str">
        <x:v>源码是否提供</x:v>
      </x:c>
      <x:c r="E37" s="243" t="str">
        <x:v>希望提前确认源码是否可用</x:v>
      </x:c>
      <x:c r="F37" s="243" t="str">
        <x:v>提及源码提供或完整性</x:v>
      </x:c>
      <x:c r="G37" s="243" t="str">
        <x:v>仅询问权重</x:v>
      </x:c>
      <x:c r="H37" s="243" t="str">
        <x:v>源码</x:v>
      </x:c>
      <x:c r="I37" s="243" t="str">
        <x:v>Q17_希望提前知道的信息_原始</x:v>
      </x:c>
      <x:c r="J37" s="243" t="str">
        <x:v>使用中</x:v>
      </x:c>
      <x:c r="K37" s="243" t="str">
        <x:v>V0.1</x:v>
      </x:c>
      <x:c r="L37" s="243" t="str">
        <x:v>产品承载方式必须与事实分列</x:v>
      </x:c>
      <x:c r="M37" s="234"/>
      <x:c r="N37" s="234"/>
      <x:c r="O37" s="234"/>
      <x:c r="P37" s="234"/>
      <x:c r="Q37" s="234"/>
      <x:c r="R37" s="234"/>
      <x:c r="S37" s="234"/>
      <x:c r="T37" s="234"/>
    </x:row>
    <x:row r="38" ht="44" customHeight="1">
      <x:c r="A38" s="243" t="str">
        <x:v>ND-03</x:v>
      </x:c>
      <x:c r="B38" s="243" t="str">
        <x:v>提前信息需求</x:v>
      </x:c>
      <x:c r="C38" s="243" t="str">
        <x:v>环境兼容性</x:v>
      </x:c>
      <x:c r="D38" s="243" t="str">
        <x:v>运行环境要求</x:v>
      </x:c>
      <x:c r="E38" s="243" t="str">
        <x:v>希望提前知道运行所需环境</x:v>
      </x:c>
      <x:c r="F38" s="243" t="str">
        <x:v>提及运行环境或版本要求</x:v>
      </x:c>
      <x:c r="G38" s="243" t="str">
        <x:v>资源需求或路径</x:v>
      </x:c>
      <x:c r="H38" s="243" t="str">
        <x:v>运行代码需要的环境</x:v>
      </x:c>
      <x:c r="I38" s="243" t="str">
        <x:v>Q17_希望提前知道的信息_原始</x:v>
      </x:c>
      <x:c r="J38" s="243" t="str">
        <x:v>使用中</x:v>
      </x:c>
      <x:c r="K38" s="243" t="str">
        <x:v>V0.1</x:v>
      </x:c>
      <x:c r="L38" s="243" t="str">
        <x:v>产品承载方式必须与事实分列</x:v>
      </x:c>
      <x:c r="M38" s="234"/>
      <x:c r="N38" s="234"/>
      <x:c r="O38" s="234"/>
      <x:c r="P38" s="234"/>
      <x:c r="Q38" s="234"/>
      <x:c r="R38" s="234"/>
      <x:c r="S38" s="234"/>
      <x:c r="T38" s="234"/>
    </x:row>
    <x:row r="39" ht="44" customHeight="1">
      <x:c r="A39" s="243" t="str">
        <x:v>ND-04</x:v>
      </x:c>
      <x:c r="B39" s="243" t="str">
        <x:v>提前信息需求</x:v>
      </x:c>
      <x:c r="C39" s="243" t="str">
        <x:v>替代方案不足</x:v>
      </x:c>
      <x:c r="D39" s="243" t="str">
        <x:v>更有效的AI辅助工具</x:v>
      </x:c>
      <x:c r="E39" s="243" t="str">
        <x:v>希望获得更有效的AI辅助</x:v>
      </x:c>
      <x:c r="F39" s="243" t="str">
        <x:v>明确表达希望更好用的AI</x:v>
      </x:c>
      <x:c r="G39" s="243" t="str">
        <x:v>具体环境或数据要求</x:v>
      </x:c>
      <x:c r="H39" s="243" t="str">
        <x:v>更好用的AI</x:v>
      </x:c>
      <x:c r="I39" s="243" t="str">
        <x:v>Q17_希望提前知道的信息_原始</x:v>
      </x:c>
      <x:c r="J39" s="243" t="str">
        <x:v>使用中</x:v>
      </x:c>
      <x:c r="K39" s="243" t="str">
        <x:v>V0.1</x:v>
      </x:c>
      <x:c r="L39" s="243" t="str">
        <x:v>产品承载方式必须与事实分列</x:v>
      </x:c>
      <x:c r="M39" s="234"/>
      <x:c r="N39" s="234"/>
      <x:c r="O39" s="234"/>
      <x:c r="P39" s="234"/>
      <x:c r="Q39" s="234"/>
      <x:c r="R39" s="234"/>
      <x:c r="S39" s="234"/>
      <x:c r="T39" s="234"/>
    </x:row>
    <x:row r="40" ht="44" customHeight="1">
      <x:c r="A40" s="243" t="str">
        <x:v>ND-05</x:v>
      </x:c>
      <x:c r="B40" s="243" t="str">
        <x:v>提前信息需求</x:v>
      </x:c>
      <x:c r="C40" s="243" t="str">
        <x:v>数据与路径</x:v>
      </x:c>
      <x:c r="D40" s="243" t="str">
        <x:v>数据集是否可获得</x:v>
      </x:c>
      <x:c r="E40" s="243" t="str">
        <x:v>希望提前确认数据是否可用</x:v>
      </x:c>
      <x:c r="F40" s="243" t="str">
        <x:v>提及数据可用性或获得条件</x:v>
      </x:c>
      <x:c r="G40" s="243" t="str">
        <x:v>数据规模或格式规范</x:v>
      </x:c>
      <x:c r="H40" s="243" t="str">
        <x:v>数据集是否可用</x:v>
      </x:c>
      <x:c r="I40" s="243" t="str">
        <x:v>Q17_希望提前知道的信息_原始</x:v>
      </x:c>
      <x:c r="J40" s="243" t="str">
        <x:v>使用中</x:v>
      </x:c>
      <x:c r="K40" s="243" t="str">
        <x:v>V0.1</x:v>
      </x:c>
      <x:c r="L40" s="243" t="str">
        <x:v>产品承载方式必须与事实分列</x:v>
      </x:c>
      <x:c r="M40" s="234"/>
      <x:c r="N40" s="234"/>
      <x:c r="O40" s="234"/>
      <x:c r="P40" s="234"/>
      <x:c r="Q40" s="234"/>
      <x:c r="R40" s="234"/>
      <x:c r="S40" s="234"/>
      <x:c r="T40" s="234"/>
    </x:row>
    <x:row r="41" ht="44" customHeight="1">
      <x:c r="A41" s="243" t="str">
        <x:v>ND-06</x:v>
      </x:c>
      <x:c r="B41" s="243" t="str">
        <x:v>提前信息需求</x:v>
      </x:c>
      <x:c r="C41" s="243" t="str">
        <x:v>数据与路径</x:v>
      </x:c>
      <x:c r="D41" s="243" t="str">
        <x:v>数据集规范性</x:v>
      </x:c>
      <x:c r="E41" s="243" t="str">
        <x:v>希望提前确认数据格式或规范</x:v>
      </x:c>
      <x:c r="F41" s="243" t="str">
        <x:v>提及数据规范、格式或质量</x:v>
      </x:c>
      <x:c r="G41" s="243" t="str">
        <x:v>仅询问是否可下载</x:v>
      </x:c>
      <x:c r="H41" s="243" t="str">
        <x:v>数据集是否规范</x:v>
      </x:c>
      <x:c r="I41" s="243" t="str">
        <x:v>Q17_希望提前知道的信息_原始</x:v>
      </x:c>
      <x:c r="J41" s="243" t="str">
        <x:v>使用中</x:v>
      </x:c>
      <x:c r="K41" s="243" t="str">
        <x:v>V0.1</x:v>
      </x:c>
      <x:c r="L41" s="243" t="str">
        <x:v>产品承载方式必须与事实分列</x:v>
      </x:c>
      <x:c r="M41" s="234"/>
      <x:c r="N41" s="234"/>
      <x:c r="O41" s="234"/>
      <x:c r="P41" s="234"/>
      <x:c r="Q41" s="234"/>
      <x:c r="R41" s="234"/>
      <x:c r="S41" s="234"/>
      <x:c r="T41" s="234"/>
    </x:row>
    <x:row r="42" ht="44" customHeight="1">
      <x:c r="A42" s="243" t="str">
        <x:v>ND-07</x:v>
      </x:c>
      <x:c r="B42" s="243" t="str">
        <x:v>提前信息需求</x:v>
      </x:c>
      <x:c r="C42" s="243" t="str">
        <x:v>评测对齐</x:v>
      </x:c>
      <x:c r="D42" s="243" t="str">
        <x:v>目标结果可达性与论文对齐</x:v>
      </x:c>
      <x:c r="E42" s="243" t="str">
        <x:v>希望提前了解结果与论文目标的对齐可能性</x:v>
      </x:c>
      <x:c r="F42" s="243" t="str">
        <x:v>提及复现结果能否接近论文展示</x:v>
      </x:c>
      <x:c r="G42" s="243" t="str">
        <x:v>只询问运行是否成功</x:v>
      </x:c>
      <x:c r="H42" s="243" t="str">
        <x:v>复现结果是否能与论文展示结果接近</x:v>
      </x:c>
      <x:c r="I42" s="243" t="str">
        <x:v>Q17_希望提前知道的信息_原始</x:v>
      </x:c>
      <x:c r="J42" s="243" t="str">
        <x:v>使用中</x:v>
      </x:c>
      <x:c r="K42" s="243" t="str">
        <x:v>V0.1</x:v>
      </x:c>
      <x:c r="L42" s="243" t="str">
        <x:v>产品承载方式必须与事实分列</x:v>
      </x:c>
      <x:c r="M42" s="234"/>
      <x:c r="N42" s="234"/>
      <x:c r="O42" s="234"/>
      <x:c r="P42" s="234"/>
      <x:c r="Q42" s="234"/>
      <x:c r="R42" s="234"/>
      <x:c r="S42" s="234"/>
      <x:c r="T42" s="234"/>
    </x:row>
    <x:row r="43" ht="44" customHeight="1">
      <x:c r="A43" s="243" t="str">
        <x:v>ND-08</x:v>
      </x:c>
      <x:c r="B43" s="243" t="str">
        <x:v>提前信息需求</x:v>
      </x:c>
      <x:c r="C43" s="243" t="str">
        <x:v>资产完整性</x:v>
      </x:c>
      <x:c r="D43" s="243" t="str">
        <x:v>代码实现思路</x:v>
      </x:c>
      <x:c r="E43" s="243" t="str">
        <x:v>希望提前了解代码或方法实现逻辑</x:v>
      </x:c>
      <x:c r="F43" s="243" t="str">
        <x:v>提及实现思路或流程</x:v>
      </x:c>
      <x:c r="G43" s="243" t="str">
        <x:v>只询问命令或环境</x:v>
      </x:c>
      <x:c r="H43" s="243" t="str">
        <x:v>代码实现思路</x:v>
      </x:c>
      <x:c r="I43" s="243" t="str">
        <x:v>Q17_希望提前知道的信息_原始</x:v>
      </x:c>
      <x:c r="J43" s="243" t="str">
        <x:v>使用中</x:v>
      </x:c>
      <x:c r="K43" s="243" t="str">
        <x:v>V0.1</x:v>
      </x:c>
      <x:c r="L43" s="243" t="str">
        <x:v>产品承载方式必须与事实分列</x:v>
      </x:c>
      <x:c r="M43" s="234"/>
      <x:c r="N43" s="234"/>
      <x:c r="O43" s="234"/>
      <x:c r="P43" s="234"/>
      <x:c r="Q43" s="234"/>
      <x:c r="R43" s="234"/>
      <x:c r="S43" s="234"/>
      <x:c r="T43" s="234"/>
    </x:row>
    <x:row r="44" ht="44" customHeight="1">
      <x:c r="A44" s="243" t="str">
        <x:v>ND-09</x:v>
      </x:c>
      <x:c r="B44" s="243" t="str">
        <x:v>提前信息需求</x:v>
      </x:c>
      <x:c r="C44" s="243" t="str">
        <x:v>数据与路径</x:v>
      </x:c>
      <x:c r="D44" s="243" t="str">
        <x:v>数据集规模</x:v>
      </x:c>
      <x:c r="E44" s="243" t="str">
        <x:v>希望提前知道数据规模</x:v>
      </x:c>
      <x:c r="F44" s="243" t="str">
        <x:v>提及数据集大小或容量</x:v>
      </x:c>
      <x:c r="G44" s="243" t="str">
        <x:v>仅询问下载权限</x:v>
      </x:c>
      <x:c r="H44" s="243" t="str">
        <x:v>数据集有多大</x:v>
      </x:c>
      <x:c r="I44" s="243" t="str">
        <x:v>Q17_希望提前知道的信息_原始</x:v>
      </x:c>
      <x:c r="J44" s="243" t="str">
        <x:v>使用中</x:v>
      </x:c>
      <x:c r="K44" s="243" t="str">
        <x:v>V0.1</x:v>
      </x:c>
      <x:c r="L44" s="243" t="str">
        <x:v>产品承载方式必须与事实分列</x:v>
      </x:c>
      <x:c r="M44" s="234"/>
      <x:c r="N44" s="234"/>
      <x:c r="O44" s="234"/>
      <x:c r="P44" s="234"/>
      <x:c r="Q44" s="234"/>
      <x:c r="R44" s="234"/>
      <x:c r="S44" s="234"/>
      <x:c r="T44" s="234"/>
    </x:row>
    <x:row r="45" ht="44" customHeight="1">
      <x:c r="A45" s="243" t="str">
        <x:v>ND-10</x:v>
      </x:c>
      <x:c r="B45" s="243" t="str">
        <x:v>提前信息需求</x:v>
      </x:c>
      <x:c r="C45" s="243" t="str">
        <x:v>算力适配</x:v>
      </x:c>
      <x:c r="D45" s="243" t="str">
        <x:v>预计预处理与实验运行时间</x:v>
      </x:c>
      <x:c r="E45" s="243" t="str">
        <x:v>希望提前知道任务时间成本</x:v>
      </x:c>
      <x:c r="F45" s="243" t="str">
        <x:v>提及预处理或实验预计时长</x:v>
      </x:c>
      <x:c r="G45" s="243" t="str">
        <x:v>已发生的训练延迟</x:v>
      </x:c>
      <x:c r="H45" s="243" t="str">
        <x:v>预处理和实验运行时间大概要多久</x:v>
      </x:c>
      <x:c r="I45" s="243" t="str">
        <x:v>Q17_希望提前知道的信息_原始</x:v>
      </x:c>
      <x:c r="J45" s="243" t="str">
        <x:v>使用中</x:v>
      </x:c>
      <x:c r="K45" s="243" t="str">
        <x:v>V0.1</x:v>
      </x:c>
      <x:c r="L45" s="243" t="str">
        <x:v>产品承载方式必须与事实分列</x:v>
      </x:c>
      <x:c r="M45" s="234"/>
      <x:c r="N45" s="234"/>
      <x:c r="O45" s="234"/>
      <x:c r="P45" s="234"/>
      <x:c r="Q45" s="234"/>
      <x:c r="R45" s="234"/>
      <x:c r="S45" s="234"/>
      <x:c r="T45" s="234"/>
    </x:row>
    <x:row r="46" ht="44" customHeight="1">
      <x:c r="A46" s="243" t="str">
        <x:v>ND-11</x:v>
      </x:c>
      <x:c r="B46" s="243" t="str">
        <x:v>提前信息需求</x:v>
      </x:c>
      <x:c r="C46" s="243" t="str">
        <x:v>环境兼容性</x:v>
      </x:c>
      <x:c r="D46" s="243" t="str">
        <x:v>环境配置要求</x:v>
      </x:c>
      <x:c r="E46" s="243" t="str">
        <x:v>希望提前获得环境配置信息</x:v>
      </x:c>
      <x:c r="F46" s="243" t="str">
        <x:v>提及环境配置要求</x:v>
      </x:c>
      <x:c r="G46" s="243" t="str">
        <x:v>泛化工具需求</x:v>
      </x:c>
      <x:c r="H46" s="243" t="str">
        <x:v>环境配置信息</x:v>
      </x:c>
      <x:c r="I46" s="243" t="str">
        <x:v>Q17_希望提前知道的信息_原始</x:v>
      </x:c>
      <x:c r="J46" s="243" t="str">
        <x:v>使用中</x:v>
      </x:c>
      <x:c r="K46" s="243" t="str">
        <x:v>V0.1</x:v>
      </x:c>
      <x:c r="L46" s="243" t="str">
        <x:v>产品承载方式必须与事实分列</x:v>
      </x:c>
      <x:c r="M46" s="234"/>
      <x:c r="N46" s="234"/>
      <x:c r="O46" s="234"/>
      <x:c r="P46" s="234"/>
      <x:c r="Q46" s="234"/>
      <x:c r="R46" s="234"/>
      <x:c r="S46" s="234"/>
      <x:c r="T46" s="234"/>
    </x:row>
    <x:row r="47" ht="44" customHeight="1">
      <x:c r="A47" s="243" t="str">
        <x:v>ND-12</x:v>
      </x:c>
      <x:c r="B47" s="243" t="str">
        <x:v>提前信息需求</x:v>
      </x:c>
      <x:c r="C47" s="243" t="str">
        <x:v>不适用</x:v>
      </x:c>
      <x:c r="D47" s="243" t="str">
        <x:v>未提出需求</x:v>
      </x:c>
      <x:c r="E47" s="243" t="str">
        <x:v>明确记录未提出提前信息需求的反例</x:v>
      </x:c>
      <x:c r="F47" s="243" t="str">
        <x:v>原话为无/没有需求</x:v>
      </x:c>
      <x:c r="G47" s="243" t="str">
        <x:v>存在任一具体信息需求</x:v>
      </x:c>
      <x:c r="H47" s="243" t="str">
        <x:v>无</x:v>
      </x:c>
      <x:c r="I47" s="243" t="str">
        <x:v>Q17_希望提前知道的信息_原始</x:v>
      </x:c>
      <x:c r="J47" s="243" t="str">
        <x:v>使用中</x:v>
      </x:c>
      <x:c r="K47" s="243" t="str">
        <x:v>V0.1</x:v>
      </x:c>
      <x:c r="L47" s="243" t="str">
        <x:v>反例；可提前核验性=不适用；不计入实际需求总数</x:v>
      </x:c>
      <x:c r="M47" s="234"/>
      <x:c r="N47" s="234"/>
      <x:c r="O47" s="234"/>
      <x:c r="P47" s="234"/>
      <x:c r="Q47" s="234"/>
      <x:c r="R47" s="234"/>
      <x:c r="S47" s="234"/>
      <x:c r="T47" s="234"/>
    </x:row>
    <x:row r="48" ht="44" customHeight="1">
      <x:c r="A48" s="243" t="str">
        <x:v>SC-01</x:v>
      </x:c>
      <x:c r="B48" s="243" t="str">
        <x:v>项目背景-任务场景</x:v>
      </x:c>
      <x:c r="C48" s="243" t="str">
        <x:v>不适用</x:v>
      </x:c>
      <x:c r="D48" s="243" t="str">
        <x:v>科研或学位课题</x:v>
      </x:c>
      <x:c r="E48" s="243" t="str">
        <x:v>项目背景所属场景：科研或学位课题</x:v>
      </x:c>
      <x:c r="F48" s="243" t="str">
        <x:v>原话明确支持“科研或学位课题”或确实未说明</x:v>
      </x:c>
      <x:c r="G48" s="243" t="str">
        <x:v>不得根据项目名称或其他结构化题反推</x:v>
      </x:c>
      <x:c r="H48" s="243" t="str">
        <x:v>论文项目/毕设 baseline</x:v>
      </x:c>
      <x:c r="I48" s="243" t="str">
        <x:v>Q17_项目或任务_原始</x:v>
      </x:c>
      <x:c r="J48" s="243" t="str">
        <x:v>使用中</x:v>
      </x:c>
      <x:c r="K48" s="243" t="str">
        <x:v>V0.1</x:v>
      </x:c>
      <x:c r="L48" s="243" t="str"/>
      <x:c r="M48" s="234"/>
      <x:c r="N48" s="234"/>
      <x:c r="O48" s="234"/>
      <x:c r="P48" s="234"/>
      <x:c r="Q48" s="234"/>
      <x:c r="R48" s="234"/>
      <x:c r="S48" s="234"/>
      <x:c r="T48" s="234"/>
    </x:row>
    <x:row r="49" ht="44" customHeight="1">
      <x:c r="A49" s="243" t="str">
        <x:v>SC-02</x:v>
      </x:c>
      <x:c r="B49" s="243" t="str">
        <x:v>项目背景-任务场景</x:v>
      </x:c>
      <x:c r="C49" s="243" t="str">
        <x:v>不适用</x:v>
      </x:c>
      <x:c r="D49" s="243" t="str">
        <x:v>课程任务</x:v>
      </x:c>
      <x:c r="E49" s="243" t="str">
        <x:v>项目背景所属场景：课程任务</x:v>
      </x:c>
      <x:c r="F49" s="243" t="str">
        <x:v>原话明确支持“课程任务”或确实未说明</x:v>
      </x:c>
      <x:c r="G49" s="243" t="str">
        <x:v>不得根据项目名称或其他结构化题反推</x:v>
      </x:c>
      <x:c r="H49" s="243" t="str"/>
      <x:c r="I49" s="243" t="str">
        <x:v>Q17_项目或任务_原始</x:v>
      </x:c>
      <x:c r="J49" s="243" t="str">
        <x:v>未启用</x:v>
      </x:c>
      <x:c r="K49" s="243" t="str">
        <x:v>V0.1</x:v>
      </x:c>
      <x:c r="L49" s="243" t="str"/>
      <x:c r="M49" s="234"/>
      <x:c r="N49" s="234"/>
      <x:c r="O49" s="234"/>
      <x:c r="P49" s="234"/>
      <x:c r="Q49" s="234"/>
      <x:c r="R49" s="234"/>
      <x:c r="S49" s="234"/>
      <x:c r="T49" s="234"/>
    </x:row>
    <x:row r="50" ht="44" customHeight="1">
      <x:c r="A50" s="243" t="str">
        <x:v>SC-03</x:v>
      </x:c>
      <x:c r="B50" s="243" t="str">
        <x:v>项目背景-任务场景</x:v>
      </x:c>
      <x:c r="C50" s="243" t="str">
        <x:v>不适用</x:v>
      </x:c>
      <x:c r="D50" s="243" t="str">
        <x:v>实习或工作</x:v>
      </x:c>
      <x:c r="E50" s="243" t="str">
        <x:v>项目背景所属场景：实习或工作</x:v>
      </x:c>
      <x:c r="F50" s="243" t="str">
        <x:v>原话明确支持“实习或工作”或确实未说明</x:v>
      </x:c>
      <x:c r="G50" s="243" t="str">
        <x:v>不得根据项目名称或其他结构化题反推</x:v>
      </x:c>
      <x:c r="H50" s="243" t="str"/>
      <x:c r="I50" s="243" t="str">
        <x:v>Q17_项目或任务_原始</x:v>
      </x:c>
      <x:c r="J50" s="243" t="str">
        <x:v>未启用</x:v>
      </x:c>
      <x:c r="K50" s="243" t="str">
        <x:v>V0.1</x:v>
      </x:c>
      <x:c r="L50" s="243" t="str"/>
      <x:c r="M50" s="234"/>
      <x:c r="N50" s="234"/>
      <x:c r="O50" s="234"/>
      <x:c r="P50" s="234"/>
      <x:c r="Q50" s="234"/>
      <x:c r="R50" s="234"/>
      <x:c r="S50" s="234"/>
      <x:c r="T50" s="234"/>
    </x:row>
    <x:row r="51" ht="44" customHeight="1">
      <x:c r="A51" s="243" t="str">
        <x:v>SC-04</x:v>
      </x:c>
      <x:c r="B51" s="243" t="str">
        <x:v>项目背景-任务场景</x:v>
      </x:c>
      <x:c r="C51" s="243" t="str">
        <x:v>不适用</x:v>
      </x:c>
      <x:c r="D51" s="243" t="str">
        <x:v>个人学习</x:v>
      </x:c>
      <x:c r="E51" s="243" t="str">
        <x:v>项目背景所属场景：个人学习</x:v>
      </x:c>
      <x:c r="F51" s="243" t="str">
        <x:v>原话明确支持“个人学习”或确实未说明</x:v>
      </x:c>
      <x:c r="G51" s="243" t="str">
        <x:v>不得根据项目名称或其他结构化题反推</x:v>
      </x:c>
      <x:c r="H51" s="243" t="str"/>
      <x:c r="I51" s="243" t="str">
        <x:v>Q17_项目或任务_原始</x:v>
      </x:c>
      <x:c r="J51" s="243" t="str">
        <x:v>未启用</x:v>
      </x:c>
      <x:c r="K51" s="243" t="str">
        <x:v>V0.1</x:v>
      </x:c>
      <x:c r="L51" s="243" t="str"/>
      <x:c r="M51" s="234"/>
      <x:c r="N51" s="234"/>
      <x:c r="O51" s="234"/>
      <x:c r="P51" s="234"/>
      <x:c r="Q51" s="234"/>
      <x:c r="R51" s="234"/>
      <x:c r="S51" s="234"/>
      <x:c r="T51" s="234"/>
    </x:row>
    <x:row r="52" ht="44" customHeight="1">
      <x:c r="A52" s="243" t="str">
        <x:v>SC-05</x:v>
      </x:c>
      <x:c r="B52" s="243" t="str">
        <x:v>项目背景-任务场景</x:v>
      </x:c>
      <x:c r="C52" s="243" t="str">
        <x:v>不适用</x:v>
      </x:c>
      <x:c r="D52" s="243" t="str">
        <x:v>竞赛或求职</x:v>
      </x:c>
      <x:c r="E52" s="243" t="str">
        <x:v>项目背景所属场景：竞赛或求职</x:v>
      </x:c>
      <x:c r="F52" s="243" t="str">
        <x:v>原话明确支持“竞赛或求职”或确实未说明</x:v>
      </x:c>
      <x:c r="G52" s="243" t="str">
        <x:v>不得根据项目名称或其他结构化题反推</x:v>
      </x:c>
      <x:c r="H52" s="243" t="str"/>
      <x:c r="I52" s="243" t="str">
        <x:v>Q17_项目或任务_原始</x:v>
      </x:c>
      <x:c r="J52" s="243" t="str">
        <x:v>未启用</x:v>
      </x:c>
      <x:c r="K52" s="243" t="str">
        <x:v>V0.1</x:v>
      </x:c>
      <x:c r="L52" s="243" t="str"/>
      <x:c r="M52" s="234"/>
      <x:c r="N52" s="234"/>
      <x:c r="O52" s="234"/>
      <x:c r="P52" s="234"/>
      <x:c r="Q52" s="234"/>
      <x:c r="R52" s="234"/>
      <x:c r="S52" s="234"/>
      <x:c r="T52" s="234"/>
    </x:row>
    <x:row r="53" ht="44" customHeight="1">
      <x:c r="A53" s="243" t="str">
        <x:v>SC-06</x:v>
      </x:c>
      <x:c r="B53" s="243" t="str">
        <x:v>项目背景-任务场景</x:v>
      </x:c>
      <x:c r="C53" s="243" t="str">
        <x:v>不适用</x:v>
      </x:c>
      <x:c r="D53" s="243" t="str">
        <x:v>其他</x:v>
      </x:c>
      <x:c r="E53" s="243" t="str">
        <x:v>项目背景所属场景：其他</x:v>
      </x:c>
      <x:c r="F53" s="243" t="str">
        <x:v>原话明确支持“其他”或确实未说明</x:v>
      </x:c>
      <x:c r="G53" s="243" t="str">
        <x:v>不得根据项目名称或其他结构化题反推</x:v>
      </x:c>
      <x:c r="H53" s="243" t="str"/>
      <x:c r="I53" s="243" t="str">
        <x:v>Q17_项目或任务_原始</x:v>
      </x:c>
      <x:c r="J53" s="243" t="str">
        <x:v>未启用</x:v>
      </x:c>
      <x:c r="K53" s="243" t="str">
        <x:v>V0.1</x:v>
      </x:c>
      <x:c r="L53" s="243" t="str"/>
      <x:c r="M53" s="234"/>
      <x:c r="N53" s="234"/>
      <x:c r="O53" s="234"/>
      <x:c r="P53" s="234"/>
      <x:c r="Q53" s="234"/>
      <x:c r="R53" s="234"/>
      <x:c r="S53" s="234"/>
      <x:c r="T53" s="234"/>
    </x:row>
    <x:row r="54" ht="44" customHeight="1">
      <x:c r="A54" s="243" t="str">
        <x:v>SC-07</x:v>
      </x:c>
      <x:c r="B54" s="243" t="str">
        <x:v>项目背景-任务场景</x:v>
      </x:c>
      <x:c r="C54" s="243" t="str">
        <x:v>不适用</x:v>
      </x:c>
      <x:c r="D54" s="243" t="str">
        <x:v>未说明</x:v>
      </x:c>
      <x:c r="E54" s="243" t="str">
        <x:v>项目背景所属场景：未说明</x:v>
      </x:c>
      <x:c r="F54" s="243" t="str">
        <x:v>原话明确支持“未说明”或确实未说明</x:v>
      </x:c>
      <x:c r="G54" s="243" t="str">
        <x:v>不得根据项目名称或其他结构化题反推</x:v>
      </x:c>
      <x:c r="H54" s="243" t="str">
        <x:v>视觉项目</x:v>
      </x:c>
      <x:c r="I54" s="243" t="str">
        <x:v>Q17_项目或任务_原始</x:v>
      </x:c>
      <x:c r="J54" s="243" t="str">
        <x:v>使用中</x:v>
      </x:c>
      <x:c r="K54" s="243" t="str">
        <x:v>V0.1</x:v>
      </x:c>
      <x:c r="L54" s="243" t="str"/>
      <x:c r="M54" s="234"/>
      <x:c r="N54" s="234"/>
      <x:c r="O54" s="234"/>
      <x:c r="P54" s="234"/>
      <x:c r="Q54" s="234"/>
      <x:c r="R54" s="234"/>
      <x:c r="S54" s="234"/>
      <x:c r="T54" s="234"/>
    </x:row>
    <x:row r="55" ht="44" customHeight="1">
      <x:c r="A55" s="243" t="str">
        <x:v>PA-01</x:v>
      </x:c>
      <x:c r="B55" s="243" t="str">
        <x:v>项目背景-任务动作</x:v>
      </x:c>
      <x:c r="C55" s="243" t="str">
        <x:v>不适用</x:v>
      </x:c>
      <x:c r="D55" s="243" t="str">
        <x:v>论文实验复现</x:v>
      </x:c>
      <x:c r="E55" s="243" t="str">
        <x:v>项目背景中的具体动作：论文实验复现</x:v>
      </x:c>
      <x:c r="F55" s="243" t="str">
        <x:v>原话明确支持“论文实验复现”或确实未说明</x:v>
      </x:c>
      <x:c r="G55" s="243" t="str">
        <x:v>不得把任务场景当作动作，也不得从名称推断</x:v>
      </x:c>
      <x:c r="H55" s="243" t="str"/>
      <x:c r="I55" s="243" t="str">
        <x:v>Q17_项目或任务_原始</x:v>
      </x:c>
      <x:c r="J55" s="243" t="str">
        <x:v>未启用</x:v>
      </x:c>
      <x:c r="K55" s="243" t="str">
        <x:v>V0.1</x:v>
      </x:c>
      <x:c r="L55" s="243" t="str"/>
      <x:c r="M55" s="234"/>
      <x:c r="N55" s="234"/>
      <x:c r="O55" s="234"/>
      <x:c r="P55" s="234"/>
      <x:c r="Q55" s="234"/>
      <x:c r="R55" s="234"/>
      <x:c r="S55" s="234"/>
      <x:c r="T55" s="234"/>
    </x:row>
    <x:row r="56" ht="44" customHeight="1">
      <x:c r="A56" s="243" t="str">
        <x:v>PA-02</x:v>
      </x:c>
      <x:c r="B56" s="243" t="str">
        <x:v>项目背景-任务动作</x:v>
      </x:c>
      <x:c r="C56" s="243" t="str">
        <x:v>不适用</x:v>
      </x:c>
      <x:c r="D56" s="243" t="str">
        <x:v>开源模型运行</x:v>
      </x:c>
      <x:c r="E56" s="243" t="str">
        <x:v>项目背景中的具体动作：开源模型运行</x:v>
      </x:c>
      <x:c r="F56" s="243" t="str">
        <x:v>原话明确支持“开源模型运行”或确实未说明</x:v>
      </x:c>
      <x:c r="G56" s="243" t="str">
        <x:v>不得把任务场景当作动作，也不得从名称推断</x:v>
      </x:c>
      <x:c r="H56" s="243" t="str"/>
      <x:c r="I56" s="243" t="str">
        <x:v>Q17_项目或任务_原始</x:v>
      </x:c>
      <x:c r="J56" s="243" t="str">
        <x:v>未启用</x:v>
      </x:c>
      <x:c r="K56" s="243" t="str">
        <x:v>V0.1</x:v>
      </x:c>
      <x:c r="L56" s="243" t="str"/>
      <x:c r="M56" s="234"/>
      <x:c r="N56" s="234"/>
      <x:c r="O56" s="234"/>
      <x:c r="P56" s="234"/>
      <x:c r="Q56" s="234"/>
      <x:c r="R56" s="234"/>
      <x:c r="S56" s="234"/>
      <x:c r="T56" s="234"/>
    </x:row>
    <x:row r="57" ht="44" customHeight="1">
      <x:c r="A57" s="243" t="str">
        <x:v>PA-03</x:v>
      </x:c>
      <x:c r="B57" s="243" t="str">
        <x:v>项目背景-任务动作</x:v>
      </x:c>
      <x:c r="C57" s="243" t="str">
        <x:v>不适用</x:v>
      </x:c>
      <x:c r="D57" s="243" t="str">
        <x:v>模型训练</x:v>
      </x:c>
      <x:c r="E57" s="243" t="str">
        <x:v>项目背景中的具体动作：模型训练</x:v>
      </x:c>
      <x:c r="F57" s="243" t="str">
        <x:v>原话明确支持“模型训练”或确实未说明</x:v>
      </x:c>
      <x:c r="G57" s="243" t="str">
        <x:v>不得把任务场景当作动作，也不得从名称推断</x:v>
      </x:c>
      <x:c r="H57" s="243" t="str">
        <x:v>在医学数据集上使用AI训练</x:v>
      </x:c>
      <x:c r="I57" s="243" t="str">
        <x:v>Q17_项目或任务_原始</x:v>
      </x:c>
      <x:c r="J57" s="243" t="str">
        <x:v>使用中</x:v>
      </x:c>
      <x:c r="K57" s="243" t="str">
        <x:v>V0.1</x:v>
      </x:c>
      <x:c r="L57" s="243" t="str"/>
      <x:c r="M57" s="234"/>
      <x:c r="N57" s="234"/>
      <x:c r="O57" s="234"/>
      <x:c r="P57" s="234"/>
      <x:c r="Q57" s="234"/>
      <x:c r="R57" s="234"/>
      <x:c r="S57" s="234"/>
      <x:c r="T57" s="234"/>
    </x:row>
    <x:row r="58" ht="44" customHeight="1">
      <x:c r="A58" s="243" t="str">
        <x:v>PA-04</x:v>
      </x:c>
      <x:c r="B58" s="243" t="str">
        <x:v>项目背景-任务动作</x:v>
      </x:c>
      <x:c r="C58" s="243" t="str">
        <x:v>不适用</x:v>
      </x:c>
      <x:c r="D58" s="243" t="str">
        <x:v>模型推理或测试</x:v>
      </x:c>
      <x:c r="E58" s="243" t="str">
        <x:v>项目背景中的具体动作：模型推理或测试</x:v>
      </x:c>
      <x:c r="F58" s="243" t="str">
        <x:v>原话明确支持“模型推理或测试”或确实未说明</x:v>
      </x:c>
      <x:c r="G58" s="243" t="str">
        <x:v>不得把任务场景当作动作，也不得从名称推断</x:v>
      </x:c>
      <x:c r="H58" s="243" t="str"/>
      <x:c r="I58" s="243" t="str">
        <x:v>Q17_项目或任务_原始</x:v>
      </x:c>
      <x:c r="J58" s="243" t="str">
        <x:v>未启用</x:v>
      </x:c>
      <x:c r="K58" s="243" t="str">
        <x:v>V0.1</x:v>
      </x:c>
      <x:c r="L58" s="243" t="str"/>
      <x:c r="M58" s="234"/>
      <x:c r="N58" s="234"/>
      <x:c r="O58" s="234"/>
      <x:c r="P58" s="234"/>
      <x:c r="Q58" s="234"/>
      <x:c r="R58" s="234"/>
      <x:c r="S58" s="234"/>
      <x:c r="T58" s="234"/>
    </x:row>
    <x:row r="59" ht="44" customHeight="1">
      <x:c r="A59" s="243" t="str">
        <x:v>PA-05</x:v>
      </x:c>
      <x:c r="B59" s="243" t="str">
        <x:v>项目背景-任务动作</x:v>
      </x:c>
      <x:c r="C59" s="243" t="str">
        <x:v>不适用</x:v>
      </x:c>
      <x:c r="D59" s="243" t="str">
        <x:v>环境配置</x:v>
      </x:c>
      <x:c r="E59" s="243" t="str">
        <x:v>项目背景中的具体动作：环境配置</x:v>
      </x:c>
      <x:c r="F59" s="243" t="str">
        <x:v>原话明确支持“环境配置”或确实未说明</x:v>
      </x:c>
      <x:c r="G59" s="243" t="str">
        <x:v>不得把任务场景当作动作，也不得从名称推断</x:v>
      </x:c>
      <x:c r="H59" s="243" t="str"/>
      <x:c r="I59" s="243" t="str">
        <x:v>Q17_项目或任务_原始</x:v>
      </x:c>
      <x:c r="J59" s="243" t="str">
        <x:v>未启用</x:v>
      </x:c>
      <x:c r="K59" s="243" t="str">
        <x:v>V0.1</x:v>
      </x:c>
      <x:c r="L59" s="243" t="str"/>
      <x:c r="M59" s="234"/>
      <x:c r="N59" s="234"/>
      <x:c r="O59" s="234"/>
      <x:c r="P59" s="234"/>
      <x:c r="Q59" s="234"/>
      <x:c r="R59" s="234"/>
      <x:c r="S59" s="234"/>
      <x:c r="T59" s="234"/>
    </x:row>
    <x:row r="60" ht="44" customHeight="1">
      <x:c r="A60" s="243" t="str">
        <x:v>PA-06</x:v>
      </x:c>
      <x:c r="B60" s="243" t="str">
        <x:v>项目背景-任务动作</x:v>
      </x:c>
      <x:c r="C60" s="243" t="str">
        <x:v>不适用</x:v>
      </x:c>
      <x:c r="D60" s="243" t="str">
        <x:v>数据准备或处理</x:v>
      </x:c>
      <x:c r="E60" s="243" t="str">
        <x:v>项目背景中的具体动作：数据准备或处理</x:v>
      </x:c>
      <x:c r="F60" s="243" t="str">
        <x:v>原话明确支持“数据准备或处理”或确实未说明</x:v>
      </x:c>
      <x:c r="G60" s="243" t="str">
        <x:v>不得把任务场景当作动作，也不得从名称推断</x:v>
      </x:c>
      <x:c r="H60" s="243" t="str"/>
      <x:c r="I60" s="243" t="str">
        <x:v>Q17_项目或任务_原始</x:v>
      </x:c>
      <x:c r="J60" s="243" t="str">
        <x:v>未启用</x:v>
      </x:c>
      <x:c r="K60" s="243" t="str">
        <x:v>V0.1</x:v>
      </x:c>
      <x:c r="L60" s="243" t="str"/>
      <x:c r="M60" s="234"/>
      <x:c r="N60" s="234"/>
      <x:c r="O60" s="234"/>
      <x:c r="P60" s="234"/>
      <x:c r="Q60" s="234"/>
      <x:c r="R60" s="234"/>
      <x:c r="S60" s="234"/>
      <x:c r="T60" s="234"/>
    </x:row>
    <x:row r="61" ht="44" customHeight="1">
      <x:c r="A61" s="243" t="str">
        <x:v>PA-07</x:v>
      </x:c>
      <x:c r="B61" s="243" t="str">
        <x:v>项目背景-任务动作</x:v>
      </x:c>
      <x:c r="C61" s="243" t="str">
        <x:v>不适用</x:v>
      </x:c>
      <x:c r="D61" s="243" t="str">
        <x:v>项目评估</x:v>
      </x:c>
      <x:c r="E61" s="243" t="str">
        <x:v>项目背景中的具体动作：项目评估</x:v>
      </x:c>
      <x:c r="F61" s="243" t="str">
        <x:v>原话明确支持“项目评估”或确实未说明</x:v>
      </x:c>
      <x:c r="G61" s="243" t="str">
        <x:v>不得把任务场景当作动作，也不得从名称推断</x:v>
      </x:c>
      <x:c r="H61" s="243" t="str"/>
      <x:c r="I61" s="243" t="str">
        <x:v>Q17_项目或任务_原始</x:v>
      </x:c>
      <x:c r="J61" s="243" t="str">
        <x:v>未启用</x:v>
      </x:c>
      <x:c r="K61" s="243" t="str">
        <x:v>V0.1</x:v>
      </x:c>
      <x:c r="L61" s="243" t="str"/>
      <x:c r="M61" s="234"/>
      <x:c r="N61" s="234"/>
      <x:c r="O61" s="234"/>
      <x:c r="P61" s="234"/>
      <x:c r="Q61" s="234"/>
      <x:c r="R61" s="234"/>
      <x:c r="S61" s="234"/>
      <x:c r="T61" s="234"/>
    </x:row>
    <x:row r="62" ht="44" customHeight="1">
      <x:c r="A62" s="243" t="str">
        <x:v>PA-08</x:v>
      </x:c>
      <x:c r="B62" s="243" t="str">
        <x:v>项目背景-任务动作</x:v>
      </x:c>
      <x:c r="C62" s="243" t="str">
        <x:v>不适用</x:v>
      </x:c>
      <x:c r="D62" s="243" t="str">
        <x:v>其他</x:v>
      </x:c>
      <x:c r="E62" s="243" t="str">
        <x:v>项目背景中的具体动作：其他</x:v>
      </x:c>
      <x:c r="F62" s="243" t="str">
        <x:v>原话明确支持“其他”或确实未说明</x:v>
      </x:c>
      <x:c r="G62" s="243" t="str">
        <x:v>不得把任务场景当作动作，也不得从名称推断</x:v>
      </x:c>
      <x:c r="H62" s="243" t="str">
        <x:v>实验对比</x:v>
      </x:c>
      <x:c r="I62" s="243" t="str">
        <x:v>Q17_项目或任务_原始</x:v>
      </x:c>
      <x:c r="J62" s="243" t="str">
        <x:v>使用中</x:v>
      </x:c>
      <x:c r="K62" s="243" t="str">
        <x:v>V0.1</x:v>
      </x:c>
      <x:c r="L62" s="243" t="str"/>
      <x:c r="M62" s="234"/>
      <x:c r="N62" s="234"/>
      <x:c r="O62" s="234"/>
      <x:c r="P62" s="234"/>
      <x:c r="Q62" s="234"/>
      <x:c r="R62" s="234"/>
      <x:c r="S62" s="234"/>
      <x:c r="T62" s="234"/>
    </x:row>
    <x:row r="63" ht="44" customHeight="1">
      <x:c r="A63" s="243" t="str">
        <x:v>PA-09</x:v>
      </x:c>
      <x:c r="B63" s="243" t="str">
        <x:v>项目背景-任务动作</x:v>
      </x:c>
      <x:c r="C63" s="243" t="str">
        <x:v>不适用</x:v>
      </x:c>
      <x:c r="D63" s="243" t="str">
        <x:v>未说明</x:v>
      </x:c>
      <x:c r="E63" s="243" t="str">
        <x:v>项目背景中的具体动作：未说明</x:v>
      </x:c>
      <x:c r="F63" s="243" t="str">
        <x:v>原话明确支持“未说明”或确实未说明</x:v>
      </x:c>
      <x:c r="G63" s="243" t="str">
        <x:v>不得把任务场景当作动作，也不得从名称推断</x:v>
      </x:c>
      <x:c r="H63" s="243" t="str">
        <x:v>视觉项目</x:v>
      </x:c>
      <x:c r="I63" s="243" t="str">
        <x:v>Q17_项目或任务_原始</x:v>
      </x:c>
      <x:c r="J63" s="243" t="str">
        <x:v>使用中</x:v>
      </x:c>
      <x:c r="K63" s="243" t="str">
        <x:v>V0.1</x:v>
      </x:c>
      <x:c r="L63" s="243" t="str"/>
      <x:c r="M63" s="234"/>
      <x:c r="N63" s="234"/>
      <x:c r="O63" s="234"/>
      <x:c r="P63" s="234"/>
      <x:c r="Q63" s="234"/>
      <x:c r="R63" s="234"/>
      <x:c r="S63" s="234"/>
      <x:c r="T63" s="234"/>
    </x:row>
    <x:row r="64" ht="44" customHeight="1">
      <x:c r="A64" s="243" t="str">
        <x:v>LG-01</x:v>
      </x:c>
      <x:c r="B64" s="243" t="str">
        <x:v>项目背景-旧任务类型</x:v>
      </x:c>
      <x:c r="C64" s="243" t="str">
        <x:v>不适用</x:v>
      </x:c>
      <x:c r="D64" s="243" t="str">
        <x:v>课程或科研任务</x:v>
      </x:c>
      <x:c r="E64" s="243" t="str">
        <x:v>初始开放编码中的混合层级任务类型</x:v>
      </x:c>
      <x:c r="F64" s="243" t="str">
        <x:v>仅用于保留历史痕迹</x:v>
      </x:c>
      <x:c r="G64" s="243" t="str">
        <x:v>停止用于任何正式汇总</x:v>
      </x:c>
      <x:c r="H64" s="243" t="str"/>
      <x:c r="I64" s="243" t="str">
        <x:v>Q17_项目或任务_原始</x:v>
      </x:c>
      <x:c r="J64" s="243" t="str">
        <x:v>停用</x:v>
      </x:c>
      <x:c r="K64" s="243" t="str">
        <x:v>V0.1</x:v>
      </x:c>
      <x:c r="L64" s="243" t="str">
        <x:v>混合任务场景与任务动作两个层级；已拆分为正式分类轴</x:v>
      </x:c>
      <x:c r="M64" s="234"/>
      <x:c r="N64" s="234"/>
      <x:c r="O64" s="234"/>
      <x:c r="P64" s="234"/>
      <x:c r="Q64" s="234"/>
      <x:c r="R64" s="234"/>
      <x:c r="S64" s="234"/>
      <x:c r="T64" s="234"/>
    </x:row>
    <x:row r="65" ht="44" customHeight="1">
      <x:c r="A65" s="243" t="str">
        <x:v>LG-02</x:v>
      </x:c>
      <x:c r="B65" s="243" t="str">
        <x:v>项目背景-旧任务类型</x:v>
      </x:c>
      <x:c r="C65" s="243" t="str">
        <x:v>不适用</x:v>
      </x:c>
      <x:c r="D65" s="243" t="str">
        <x:v>模型训练</x:v>
      </x:c>
      <x:c r="E65" s="243" t="str">
        <x:v>初始开放编码中的混合层级任务类型</x:v>
      </x:c>
      <x:c r="F65" s="243" t="str">
        <x:v>仅用于保留历史痕迹</x:v>
      </x:c>
      <x:c r="G65" s="243" t="str">
        <x:v>停止用于任何正式汇总</x:v>
      </x:c>
      <x:c r="H65" s="243" t="str"/>
      <x:c r="I65" s="243" t="str">
        <x:v>Q17_项目或任务_原始</x:v>
      </x:c>
      <x:c r="J65" s="243" t="str">
        <x:v>停用</x:v>
      </x:c>
      <x:c r="K65" s="243" t="str">
        <x:v>V0.1</x:v>
      </x:c>
      <x:c r="L65" s="243" t="str">
        <x:v>混合任务场景与任务动作两个层级；已拆分为正式分类轴</x:v>
      </x:c>
      <x:c r="M65" s="234"/>
      <x:c r="N65" s="234"/>
      <x:c r="O65" s="234"/>
      <x:c r="P65" s="234"/>
      <x:c r="Q65" s="234"/>
      <x:c r="R65" s="234"/>
      <x:c r="S65" s="234"/>
      <x:c r="T65" s="234"/>
    </x:row>
    <x:row r="66" ht="44" customHeight="1">
      <x:c r="A66" s="243" t="str">
        <x:v>LG-03</x:v>
      </x:c>
      <x:c r="B66" s="243" t="str">
        <x:v>项目背景-旧任务类型</x:v>
      </x:c>
      <x:c r="C66" s="243" t="str">
        <x:v>不适用</x:v>
      </x:c>
      <x:c r="D66" s="243" t="str">
        <x:v>无法判断</x:v>
      </x:c>
      <x:c r="E66" s="243" t="str">
        <x:v>初始开放编码中的混合层级任务类型</x:v>
      </x:c>
      <x:c r="F66" s="243" t="str">
        <x:v>仅用于保留历史痕迹</x:v>
      </x:c>
      <x:c r="G66" s="243" t="str">
        <x:v>停止用于任何正式汇总</x:v>
      </x:c>
      <x:c r="H66" s="243" t="str"/>
      <x:c r="I66" s="243" t="str">
        <x:v>Q17_项目或任务_原始</x:v>
      </x:c>
      <x:c r="J66" s="243" t="str">
        <x:v>停用</x:v>
      </x:c>
      <x:c r="K66" s="243" t="str">
        <x:v>V0.1</x:v>
      </x:c>
      <x:c r="L66" s="243" t="str">
        <x:v>混合任务场景与任务动作两个层级；已拆分为正式分类轴</x:v>
      </x:c>
      <x:c r="M66" s="234"/>
      <x:c r="N66" s="234"/>
      <x:c r="O66" s="234"/>
      <x:c r="P66" s="234"/>
      <x:c r="Q66" s="234"/>
      <x:c r="R66" s="234"/>
      <x:c r="S66" s="234"/>
      <x:c r="T66" s="234"/>
    </x:row>
  </x:sheetData>
  <x:mergeCells>
    <x:mergeCell ref="A1:L1"/>
    <x:mergeCell ref="A2:L2"/>
    <x:mergeCell ref="N1:T1"/>
    <x:mergeCell ref="N8:S8"/>
    <x:mergeCell ref="N14:Q14"/>
  </x:mergeCells>
  <x:pageMargins left="0.7" right="0.7" top="0.75" bottom="0.75" header="0.3" footer="0.3"/>
</x:worksheet>
</file>