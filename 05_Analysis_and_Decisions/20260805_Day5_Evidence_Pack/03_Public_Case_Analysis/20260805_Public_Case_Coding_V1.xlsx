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118f92eee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_Cases" sheetId="1" r:id="R1a3716e10f624ce6"/>
    <x:sheet xmlns:r="http://schemas.openxmlformats.org/officeDocument/2006/relationships" name="01_案例审计" sheetId="2" r:id="Ra27eea6119504d23"/>
    <x:sheet xmlns:r="http://schemas.openxmlformats.org/officeDocument/2006/relationships" name="02_统一案例编码" sheetId="3" r:id="R3d7cc973d04a4500"/>
    <x:sheet xmlns:r="http://schemas.openxmlformats.org/officeDocument/2006/relationships" name="03_H5_覆盖分析" sheetId="4" r:id="Reb034e7c8fc0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  <x:font>
      <x:b/>
      <x:sz val="11"/>
      <x:color rgb="FF1F4E78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166534"/>
      <x:name val="Carlito"/>
    </x:font>
    <x:font>
      <x:sz val="11"/>
      <x:color rgb="FF92400E"/>
      <x:name val="Carlito"/>
    </x:font>
    <x:font>
      <x:b/>
      <x:sz val="12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1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medium">
        <x:color rgb="FF17365D"/>
      </x:bottom>
    </x:border>
    <x:border>
      <x:bottom style="thin">
        <x:color rgb="FFD9E2F3"/>
      </x:bottom>
    </x:border>
    <x:border>
      <x:bottom style="medium">
        <x:color rgb="FF0F243E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xfId="0" applyNumberFormat="1" applyFont="1" applyFill="1" applyBorder="0"/>
    <x:xf numFmtId="0" fontId="5" fillId="0" borderId="8" xfId="0" applyNumberFormat="1" applyFont="1" applyFill="1" applyBorder="1"/>
    <x:xf numFmtId="0" fontId="5" fillId="0" xfId="0" applyNumberFormat="1" applyFont="1" applyFill="1" applyBorder="0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200" fontId="5" fillId="0" xfId="0" applyNumberFormat="1" applyFont="1" applyFill="1" applyBorder="0" applyAlignment="1">
      <x:alignment horizontal="center" vertical="top" wrapText="1"/>
    </x:xf>
    <x:xf numFmtId="200" fontId="5" fillId="0" borderId="8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horizont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borderId="8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10" xfId="0" applyNumberFormat="1" applyFont="1" applyFill="1" applyBorder="0" applyAlignment="1">
      <x:alignment vertical="top" wrapText="1"/>
    </x:xf>
    <x:xf numFmtId="0" fontId="8" fillId="10" xfId="0" applyNumberFormat="1" applyFont="1" applyFill="1" applyBorder="0" applyAlignment="1">
      <x:alignment vertical="top" wrapText="1"/>
    </x:xf>
    <x:xf numFmtId="0" fontId="0" fillId="11" borderId="8" xfId="0" applyNumberFormat="1" applyFont="1" applyFill="1" applyBorder="1" applyAlignment="1">
      <x:alignment vertical="top" wrapText="1"/>
    </x:xf>
    <x:xf numFmtId="0" fontId="9" fillId="11" borderId="8" xfId="0" applyNumberFormat="1" applyFont="1" applyFill="1" applyBorder="1" applyAlignment="1">
      <x:alignment vertical="top" wrapText="1"/>
    </x:xf>
    <x:xf numFmtId="0" fontId="0" fillId="10" borderId="8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0" fillId="0" xfId="0" applyNumberFormat="1" applyFont="1" applyFill="1" applyBorder="0" applyAlignment="1">
      <x:alignment horizontal="center" vertical="top" wrapText="1"/>
    </x:xf>
    <x:xf numFmtId="0" fontId="8" fillId="10" xfId="0" applyNumberFormat="1" applyFont="1" applyFill="1" applyBorder="0" applyAlignment="1">
      <x:alignment horizontal="center" vertical="top" wrapText="1"/>
    </x:xf>
    <x:xf numFmtId="0" fontId="9" fillId="11" borderId="8" xfId="0" applyNumberFormat="1" applyFont="1" applyFill="1" applyBorder="1" applyAlignment="1">
      <x:alignment horizontal="center" vertical="top" wrapText="1"/>
    </x:xf>
    <x:xf numFmtId="201" fontId="0" fillId="0" xfId="0" applyNumberFormat="1" applyFont="1" applyFill="1" applyBorder="0" applyAlignment="1">
      <x:alignment horizontal="center" vertical="top" wrapText="1"/>
    </x:xf>
    <x:xf numFmtId="201" fontId="8" fillId="10" xfId="0" applyNumberFormat="1" applyFont="1" applyFill="1" applyBorder="0" applyAlignment="1">
      <x:alignment horizontal="center" vertical="top" wrapText="1"/>
    </x:xf>
    <x:xf numFmtId="201" fontId="9" fillId="11" borderId="8" xfId="0" applyNumberFormat="1" applyFont="1" applyFill="1" applyBorder="1" applyAlignment="1">
      <x:alignment horizontal="center" vertical="top" wrapText="1"/>
    </x:xf>
    <x:xf numFmtId="201" fontId="0" fillId="0" xfId="0" applyNumberFormat="1" applyFont="1" applyFill="1" applyBorder="0" applyAlignment="1">
      <x:alignment wrapText="1"/>
    </x:xf>
  </x:cellXfs>
  <x:cellStyles count="1">
    <x:cellStyle name="Normal" xfId="0"/>
  </x:cellStyles>
  <x:dxfs count="7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3730A3"/>
      </x:font>
      <x:fill>
        <x:patternFill>
          <x:bgColor rgb="FFE0E7FF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374151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9a300680a4a72" /><Relationship Type="http://schemas.openxmlformats.org/officeDocument/2006/relationships/theme" Target="/xl/theme/theme1.xml" Id="R168a7a8f355145f1" /><Relationship Type="http://schemas.openxmlformats.org/officeDocument/2006/relationships/sharedStrings" Target="/xl/sharedStrings.xml" Id="Ree5d683c1aad425c" /><Relationship Type="http://schemas.openxmlformats.org/officeDocument/2006/relationships/worksheet" Target="/xl/worksheets/sheet1.xml" Id="R1a3716e10f624ce6" /><Relationship Type="http://schemas.openxmlformats.org/officeDocument/2006/relationships/worksheet" Target="/xl/worksheets/sheet2.xml" Id="Ra27eea6119504d23" /><Relationship Type="http://schemas.openxmlformats.org/officeDocument/2006/relationships/worksheet" Target="/xl/worksheets/sheet3.xml" Id="R3d7cc973d04a4500" /><Relationship Type="http://schemas.openxmlformats.org/officeDocument/2006/relationships/worksheet" Target="/xl/worksheets/sheet4.xml" Id="Reb034e7c8fc0402b" /></Relationships>
</file>

<file path=xl/tables/table1.xml><?xml version="1.0" encoding="utf-8"?>
<x:table xmlns:x="http://schemas.openxmlformats.org/spreadsheetml/2006/main" id="1" name="PublicCasesTable" displayName="PublicCasesTable" ref="A1:P21" headerRowCount="1" totalsRowCount="0" totalsRowShown="0">
  <x:autoFilter ref="A1:P21"/>
  <x:tableColumns count="16">
    <x:tableColumn id="1" name="Case ID"/>
    <x:tableColumn id="2" name="来源类型"/>
    <x:tableColumn id="3" name="仓库或项目"/>
    <x:tableColumn id="4" name="Issue 编号"/>
    <x:tableColumn id="5" name="链接"/>
    <x:tableColumn id="6" name="访问日期"/>
    <x:tableColumn id="7" name="发生阶段"/>
    <x:tableColumn id="8" name="原始问题"/>
    <x:tableColumn id="9" name="问题类别"/>
    <x:tableColumn id="10" name="影响"/>
    <x:tableColumn id="11" name="是否可提前发现"/>
    <x:tableColumn id="12" name="处理过程"/>
    <x:tableColumn id="13" name="是否解决"/>
    <x:tableColumn id="14" name="产品机会"/>
    <x:tableColumn id="15" name="证据归档路径"/>
    <x:tableColumn id="16" name="脱敏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CaseAuditTable" displayName="PublicCaseAuditTable" ref="A1:O21" headerRowCount="1" totalsRowCount="0" totalsRowShown="0">
  <x:autoFilter ref="A1:O21"/>
  <x:tableColumns count="15">
    <x:tableColumn id="1" name="Case_ID"/>
    <x:tableColumn id="2" name="来源类型"/>
    <x:tableColumn id="3" name="仓库或案例标题"/>
    <x:tableColumn id="4" name="原始链接"/>
    <x:tableColumn id="5" name="发布日期"/>
    <x:tableColumn id="6" name="访问日期"/>
    <x:tableColumn id="7" name="原始问题证据摘录"/>
    <x:tableColumn id="8" name="来源是否可访问"/>
    <x:tableColumn id="9" name="事实是否充分"/>
    <x:tableColumn id="10" name="证据强度_初审"/>
    <x:tableColumn id="11" name="重复簇编号"/>
    <x:tableColumn id="12" name="是否重复案例"/>
    <x:tableColumn id="13" name="隐私是否合规"/>
    <x:tableColumn id="14" name="审计结论"/>
    <x:tableColumn id="15" name="审计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fiedPublicCaseCodingTable" displayName="UnifiedPublicCaseCodingTable" ref="A1:L21" headerRowCount="1" totalsRowCount="0" totalsRowShown="0">
  <x:autoFilter ref="A1:L21"/>
  <x:tableColumns count="12">
    <x:tableColumn id="1" name="Case_ID"/>
    <x:tableColumn id="2" name="来源与日期"/>
    <x:tableColumn id="3" name="发生阶段"/>
    <x:tableColumn id="4" name="问题类别"/>
    <x:tableColumn id="5" name="事实摘要"/>
    <x:tableColumn id="6" name="影响"/>
    <x:tableColumn id="7" name="可提前发现性"/>
    <x:tableColumn id="8" name="可提前发现依据"/>
    <x:tableColumn id="9" name="三类诊断覆盖"/>
    <x:tableColumn id="10" name="证据强度"/>
    <x:tableColumn id="11" name="产品机会_推断"/>
    <x:tableColumn id="12" name="编码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5CoverageSummaryTable" displayName="H5CoverageSummaryTable" ref="A4:F9" headerRowCount="1" totalsRowCount="0" totalsRowShown="0">
  <x:tableColumns count="6">
    <x:tableColumn id="1" name="分类"/>
    <x:tableColumn id="2" name="案例数 n"/>
    <x:tableColumn id="3" name="有效案例分母"/>
    <x:tableColumn id="4" name="占比"/>
    <x:tableColumn id="5" name="代表Case ID"/>
    <x:tableColumn id="6" name="备注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H5UncoveredAuditTable" displayName="H5UncoveredAuditTable" ref="A19:F21" headerRowCount="1" totalsRowCount="0" totalsRowShown="0">
  <x:tableColumns count="6">
    <x:tableColumn id="1" name="Case_ID"/>
    <x:tableColumn id="2" name="问题类别"/>
    <x:tableColumn id="3" name="发生阶段"/>
    <x:tableColumn id="4" name="为什么三类诊断无法覆盖"/>
    <x:tableColumn id="5" name="是否值得扩展首版类别"/>
    <x:tableColumn id="6" name="当前决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487426f04848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164f93bdc644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fd1ee401fd42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993401ab024827" /><Relationship Type="http://schemas.openxmlformats.org/officeDocument/2006/relationships/table" Target="/xl/tables/table5.xml" Id="Rcf221248bd8a46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4" hidden="0" customWidth="1"/>
    <x:col min="4" max="4" width="14" hidden="0" customWidth="1"/>
    <x:col min="5" max="5" width="34" hidden="0" customWidth="1"/>
    <x:col min="6" max="6" width="14" hidden="0" customWidth="1"/>
    <x:col min="7" max="7" width="18" hidden="0" customWidth="1"/>
    <x:col min="8" max="8" width="34" hidden="0" customWidth="1"/>
    <x:col min="9" max="9" width="20" hidden="0" customWidth="1"/>
    <x:col min="10" max="10" width="26" hidden="0" customWidth="1"/>
    <x:col min="11" max="11" width="18" hidden="0" customWidth="1"/>
    <x:col min="12" max="12" width="34" hidden="0" customWidth="1"/>
    <x:col min="13" max="13" width="15" hidden="0" customWidth="1"/>
    <x:col min="14" max="14" width="30" hidden="0" customWidth="1"/>
    <x:col min="15" max="15" width="32" hidden="0" customWidth="1"/>
    <x:col min="16" max="16" width="15" hidden="0" customWidth="1"/>
  </x:cols>
  <x:sheetData>
    <x:row r="1" ht="34" customHeight="1">
      <x:c r="A1" s="39" t="str">
        <x:v>Case ID</x:v>
      </x:c>
      <x:c r="B1" s="40" t="str">
        <x:v>来源类型</x:v>
      </x:c>
      <x:c r="C1" s="40" t="str">
        <x:v>仓库或项目</x:v>
      </x:c>
      <x:c r="D1" s="40" t="str">
        <x:v>Issue 编号</x:v>
      </x:c>
      <x:c r="E1" s="40" t="str">
        <x:v>链接</x:v>
      </x:c>
      <x:c r="F1" s="40" t="str">
        <x:v>访问日期</x:v>
      </x:c>
      <x:c r="G1" s="40" t="str">
        <x:v>发生阶段</x:v>
      </x:c>
      <x:c r="H1" s="40" t="str">
        <x:v>原始问题</x:v>
      </x:c>
      <x:c r="I1" s="40" t="str">
        <x:v>问题类别</x:v>
      </x:c>
      <x:c r="J1" s="40" t="str">
        <x:v>影响</x:v>
      </x:c>
      <x:c r="K1" s="40" t="str">
        <x:v>是否可提前发现</x:v>
      </x:c>
      <x:c r="L1" s="40" t="str">
        <x:v>处理过程</x:v>
      </x:c>
      <x:c r="M1" s="40" t="str">
        <x:v>是否解决</x:v>
      </x:c>
      <x:c r="N1" s="40" t="str">
        <x:v>产品机会</x:v>
      </x:c>
      <x:c r="O1" s="40" t="str">
        <x:v>证据归档路径</x:v>
      </x:c>
      <x:c r="P1" s="41" t="str">
        <x:v>脱敏检查</x:v>
      </x:c>
    </x:row>
    <x:row r="2" ht="108" customHeight="1">
      <x:c r="A2" s="46" t="str">
        <x:v>C-001</x:v>
      </x:c>
      <x:c r="B2" s="44" t="str">
        <x:v>GitHub Issue</x:v>
      </x:c>
      <x:c r="C2" s="44" t="str">
        <x:v>SCLBD/DeepfakeBench</x:v>
      </x:c>
      <x:c r="D2" s="44" t="str">
        <x:v>#110</x:v>
      </x:c>
      <x:c r="E2" s="44" t="str">
        <x:v>https://github.com/SCLBD/DeepfakeBench/issues/110</x:v>
      </x:c>
      <x:c r="F2" s="48" t="n">
        <x:v>46239</x:v>
      </x:c>
      <x:c r="G2" s="44" t="str">
        <x:v>数据准备 / 训练启动</x:v>
      </x:c>
      <x:c r="H2" s="44" t="str">
        <x:v>按 README 运行 Xception 训练时图片加载失败。用户检查 YAML、trainer.py 和实际路径后仍无法定位；排错最终发现配置使用 LMDB 读取模式，但传入的是 PNG 原图路径。</x:v>
      </x:c>
      <x:c r="I2" s="44" t="str">
        <x:v>路径与数据 / 数据格式配置不一致</x:v>
      </x:c>
      <x:c r="J2" s="44" t="str">
        <x:v>图片无法被数据加载器正确读取，训练不能正常开始。</x:v>
      </x:c>
      <x:c r="K2" s="44" t="str">
        <x:v>是。运行前核对输入文件类型、数据存储格式与 lmdb 开关，可直接发现 PNG 原图与 LMDB 读取模式冲突。</x:v>
      </x:c>
      <x:c r="L2" s="44" t="str">
        <x:v>社区回复先检查数据 JSON 路径和 load_rgb，随后指出 train_config.yaml 中 lmdb=true 与 PNG 输入冲突，建议设为 false；用户确认修改后程序正常运行。</x:v>
      </x:c>
      <x:c r="M2" s="44" t="str">
        <x:v>是（用户确认）</x:v>
      </x:c>
      <x:c r="N2" s="44" t="str">
        <x:v>【产品推断】准备度检查可交叉核验数据后端配置与抽样文件类型，在 lmdb=true 但发现 PNG/JPEG 路径时给出阻塞告警。</x:v>
      </x:c>
      <x:c r="O2" s="44" t="str">
        <x:v>03_Public_Cases/Source_Archive/C-001/source.md</x:v>
      </x:c>
      <x:c r="P2" s="44" t="str">
        <x:v>通过：未保留用户名、私有路径或 Token</x:v>
      </x:c>
    </x:row>
    <x:row r="3" ht="108" customHeight="1">
      <x:c r="A3" s="46" t="str">
        <x:v>C-002</x:v>
      </x:c>
      <x:c r="B3" s="44" t="str">
        <x:v>GitHub Issue</x:v>
      </x:c>
      <x:c r="C3" s="44" t="str">
        <x:v>SCLBD/DeepfakeBench</x:v>
      </x:c>
      <x:c r="D3" s="44" t="str">
        <x:v>#13</x:v>
      </x:c>
      <x:c r="E3" s="44" t="str">
        <x:v>https://github.com/SCLBD/DeepfakeBench/issues/13</x:v>
      </x:c>
      <x:c r="F3" s="48" t="n">
        <x:v>46239</x:v>
      </x:c>
      <x:c r="G3" s="44" t="str">
        <x:v>数据准备 / 数据预处理</x:v>
      </x:c>
      <x:c r="H3" s="44" t="str">
        <x:v>用户报告 DFDCP 数据包缺少 method_B 视频，Celeb-DF-v2 缺少 List_of_testing_videos.txt，DFDCP dataset.json 不完整，DFDC 分包缺少 metadata.json。</x:v>
      </x:c>
      <x:c r="I3" s="44" t="str">
        <x:v>路径与数据 / 发布物完整性</x:v>
      </x:c>
      <x:c r="J3" s="44" t="str">
        <x:v>无法按仓库流程完整组织和预处理数据；缺失索引或元数据可能造成样本遗漏或加载失败。</x:v>
      </x:c>
      <x:c r="K3" s="44" t="str">
        <x:v>是。下载后对照 manifest/README 检查目录、文件数、必需索引与元数据，并验证 JSON 引用是否存在，可在预处理前发现。</x:v>
      </x:c>
      <x:c r="L3" s="44" t="str">
        <x:v>作者称网盘更新可能有问题并进行检查，随后表示已补齐缺失视频和文件；针对 DFDCP JSON 又提供完整数据链接。后续用户仍报告链接需要密码。</x:v>
      </x:c>
      <x:c r="M3" s="44" t="str">
        <x:v>部分：作者称已更新，但访问仍有疑问</x:v>
      </x:c>
      <x:c r="N3" s="44" t="str">
        <x:v>【产品推断】生成数据资产清单，对目录、压缩包、JSON/metadata 引用做完整性和可达性校验，并区分文件缺失、索引缺失与链接受限。</x:v>
      </x:c>
      <x:c r="O3" s="44" t="str">
        <x:v>03_Public_Cases/Source_Archive/C-002/source.md</x:v>
      </x:c>
      <x:c r="P3" s="44" t="str">
        <x:v>通过：未保留用户名、私有路径或 Token</x:v>
      </x:c>
    </x:row>
    <x:row r="4" ht="108" customHeight="1">
      <x:c r="A4" s="46" t="str">
        <x:v>C-003</x:v>
      </x:c>
      <x:c r="B4" s="44" t="str">
        <x:v>GitHub Issue</x:v>
      </x:c>
      <x:c r="C4" s="44" t="str">
        <x:v>SCLBD/DeepfakeBench</x:v>
      </x:c>
      <x:c r="D4" s="44" t="str">
        <x:v>#79</x:v>
      </x:c>
      <x:c r="E4" s="44" t="str">
        <x:v>https://github.com/SCLBD/DeepfakeBench/issues/79</x:v>
      </x:c>
      <x:c r="F4" s="48" t="n">
        <x:v>46239</x:v>
      </x:c>
      <x:c r="G4" s="44" t="str">
        <x:v>模型初始化 / checkpoint 加载</x:v>
      </x:c>
      <x:c r="H4" s="44" t="str">
        <x:v>加载发布的 EfficientNetB4 检测器权重时出现 Missing/Unexpected key(s) in state_dict；EfficientNetB4 与 I3D 存在 backbone.、resnet. 等系统性键名前缀差异。</x:v>
      </x:c>
      <x:c r="I4" s="44" t="str">
        <x:v>checkpoint 与配置 / 模型结构及权重命名</x:v>
      </x:c>
      <x:c r="J4" s="44" t="str">
        <x:v>发布的检测器权重不能按当前初始化路径直接载入，模型测试或继续训练被阻塞。</x:v>
      </x:c>
      <x:c r="K4" s="44" t="str">
        <x:v>部分。预先比较 checkpoint 键名、张量形状、类别数与当前模型 state_dict 可发现不匹配；修复策略仍需结合代码语义。</x:v>
      </x:c>
      <x:c r="L4" s="44" t="str">
        <x:v>发起者提出先用 from_name() 构建并调整模型，再以 strict=False 加载，并称已在训练和测试中验证。Issue 仍开放，仓库未确认统一修复。</x:v>
      </x:c>
      <x:c r="M4" s="44" t="str">
        <x:v>部分：社区绕行方案，未有维护者统一修复</x:v>
      </x:c>
      <x:c r="N4" s="44" t="str">
        <x:v>【产品推断】权重兼容性检查可生成键名/形状差异报告，识别系统性前缀差异，并区分 backbone 权重与完整 detector 权重。</x:v>
      </x:c>
      <x:c r="O4" s="44" t="str">
        <x:v>03_Public_Cases/Source_Archive/C-003/source.md</x:v>
      </x:c>
      <x:c r="P4" s="44" t="str">
        <x:v>通过：未保留用户名、私有路径或 Token</x:v>
      </x:c>
    </x:row>
    <x:row r="5" ht="108" customHeight="1">
      <x:c r="A5" s="51" t="str">
        <x:v>C-004</x:v>
      </x:c>
      <x:c r="B5" s="51" t="str">
        <x:v>GitHub Issue 回复链</x:v>
      </x:c>
      <x:c r="C5" s="51" t="str">
        <x:v>SCLBD/DeepfakeBench</x:v>
      </x:c>
      <x:c r="D5" s="51" t="str">
        <x:v>#109</x:v>
      </x:c>
      <x:c r="E5" s="51" t="str">
        <x:v>https://github.com/SCLBD/DeepfakeBench/issues/109</x:v>
      </x:c>
      <x:c r="F5" s="52" t="n">
        <x:v>46239</x:v>
      </x:c>
      <x:c r="G5" s="51" t="str">
        <x:v>评测运行 / 结果汇总</x:v>
      </x:c>
      <x:c r="H5" s="51" t="str">
        <x:v>回复链用户使用约 90 GB 内存评测 DFDC 等大数据集时仍发生内存溢出，进程被系统直接终止；讨论指向持续累计预测结果和高维特征列表。</x:v>
      </x:c>
      <x:c r="I5" s="51" t="str">
        <x:v>资源与性能 / 评测结果缓存</x:v>
      </x:c>
      <x:c r="J5" s="51" t="str">
        <x:v>大数据集评测无法完成，即使模型与数据已能正常加载。</x:v>
      </x:c>
      <x:c r="K5" s="51" t="str">
        <x:v>部分。静态识别按样本累计高维特征，并结合样本量和特征尺寸估算峰值内存，可提前提示风险。</x:v>
      </x:c>
      <x:c r="L5" s="51" t="str">
        <x:v>先尝试改用 tensor.tolist() 与 extend，未解决；随后移除 test_one_dataset 中 feature list 相关内容，报告者完成测试，另一用户也确认有效。</x:v>
      </x:c>
      <x:c r="M5" s="51" t="str">
        <x:v>是（两名社区用户确认；非通用结论）</x:v>
      </x:c>
      <x:c r="N5" s="51" t="str">
        <x:v>【产品推断】资源估算器可识别无界结果累积，估算特征缓存体积，并建议流式写盘、关闭非必要特征保存或只保留聚合指标。</x:v>
      </x:c>
      <x:c r="O5" s="51" t="str">
        <x:v>03_Public_Cases/Source_Archive/C-004/source.md</x:v>
      </x:c>
      <x:c r="P5" s="51" t="str">
        <x:v>通过：未保留用户名、私有路径或 Token</x:v>
      </x:c>
    </x:row>
    <x:row r="6" ht="108" customHeight="1">
      <x:c r="A6" s="51" t="str">
        <x:v>C-005</x:v>
      </x:c>
      <x:c r="B6" s="51" t="str">
        <x:v>GitHub Issue</x:v>
      </x:c>
      <x:c r="C6" s="51" t="str">
        <x:v>SCLBD/DeepfakeBench</x:v>
      </x:c>
      <x:c r="D6" s="51" t="str">
        <x:v>#66</x:v>
      </x:c>
      <x:c r="E6" s="51" t="str">
        <x:v>https://github.com/SCLBD/DeepfakeBench/issues/66</x:v>
      </x:c>
      <x:c r="F6" s="52" t="n">
        <x:v>46239</x:v>
      </x:c>
      <x:c r="G6" s="51" t="str">
        <x:v>数据加载 / 训练运行</x:v>
      </x:c>
      <x:c r="H6" s="51" t="str">
        <x:v>训练 LSDA 时反复出现 list index out of range 和 maximum recursion depth exceeded；公开回复认为可能存在缺失视频或部分视频抽帧不足 32 帧。</x:v>
      </x:c>
      <x:c r="I6" s="51" t="str">
        <x:v>路径与数据 / 数据完整性与异常重试</x:v>
      </x:c>
      <x:c r="J6" s="51" t="str">
        <x:v>数据加载器持续换样本或递归调用，最终发生递归深度异常并中断训练。</x:v>
      </x:c>
      <x:c r="K6" s="51" t="str">
        <x:v>是。训练前检查 JSON 引用文件、每个视频的实际帧数与配置最小帧数，可提前识别坏样本。</x:v>
      </x:c>
      <x:c r="L6" s="51" t="str">
        <x:v>有人修改 __getitem__ 在加载失败时随机换样本并称可运行，但其他用户仍失败；另一建议是补齐抽帧后重新 rerange 生成 FF++.json。Issue 仍开放。</x:v>
      </x:c>
      <x:c r="M6" s="51" t="str">
        <x:v>未知：有社区路径但结果不一致</x:v>
      </x:c>
      <x:c r="N6" s="51" t="str">
        <x:v>【产品推断】逐项核验索引、视频/帧目录和最小帧数；同时识别数据加载器的递归重试模式，提示坏样本可能被放大为栈溢出。</x:v>
      </x:c>
      <x:c r="O6" s="51" t="str">
        <x:v>03_Public_Cases/Source_Archive/C-005/source.md</x:v>
      </x:c>
      <x:c r="P6" s="51" t="str">
        <x:v>通过：未保留用户名、私有路径或 Token</x:v>
      </x:c>
    </x:row>
    <x:row r="7" ht="108" customHeight="1">
      <x:c r="A7" s="51" t="str">
        <x:v>C-006</x:v>
      </x:c>
      <x:c r="B7" s="51" t="str">
        <x:v>GitHub Issue</x:v>
      </x:c>
      <x:c r="C7" s="51" t="str">
        <x:v>SCLBD/DeepfakeBench</x:v>
      </x:c>
      <x:c r="D7" s="51" t="str">
        <x:v>#68</x:v>
      </x:c>
      <x:c r="E7" s="51" t="str">
        <x:v>https://github.com/SCLBD/DeepfakeBench/issues/68</x:v>
      </x:c>
      <x:c r="F7" s="52" t="n">
        <x:v>46239</x:v>
      </x:c>
      <x:c r="G7" s="51" t="str">
        <x:v>数据预处理 / SBI 增强</x:v>
      </x:c>
      <x:c r="H7" s="51" t="str">
        <x:v>SBI 数据增强在生成掩膜时出现二维数组按三维索引，以及图像对象为 None 的类型错误。</x:v>
      </x:c>
      <x:c r="I7" s="51" t="str">
        <x:v>数据预处理 / 代码版本兼容</x:v>
      </x:c>
      <x:c r="J7" s="51" t="str">
        <x:v>训练数据增强中断，SBI 训练无法继续。</x:v>
      </x:c>
      <x:c r="K7" s="51" t="str">
        <x:v>部分可以。运行前用少量样本执行数据增强冒烟测试，可提前暴露掩膜维度变化。</x:v>
      </x:c>
      <x:c r="L7" s="51" t="str">
        <x:v>社区指出 `random_get_hull` 返回值维度已变化，建议移除 `[:,:,0]` 索引；部分用户继续遇到形状或内存问题。</x:v>
      </x:c>
      <x:c r="M7" s="51" t="str">
        <x:v>部分解决；Issue 已关闭，但修复对不同环境并非完全一致。</x:v>
      </x:c>
      <x:c r="N7" s="51" t="str">
        <x:v>【产品推断】在正式训练前自动运行增强管线样本测试，并检查关键张量的形状、类型与版本差异。</x:v>
      </x:c>
      <x:c r="O7" s="51" t="str">
        <x:v>03_Public_Cases/Source_Archive/C-006/source.md</x:v>
      </x:c>
      <x:c r="P7" s="51" t="str">
        <x:v>通过：未保留用户名、私有路径、Token 或个人敏感信息</x:v>
      </x:c>
    </x:row>
    <x:row r="8" ht="108" customHeight="1">
      <x:c r="A8" s="51" t="str">
        <x:v>C-007</x:v>
      </x:c>
      <x:c r="B8" s="51" t="str">
        <x:v>GitHub Issue</x:v>
      </x:c>
      <x:c r="C8" s="51" t="str">
        <x:v>open-mmlab/mmaction2</x:v>
      </x:c>
      <x:c r="D8" s="51" t="str">
        <x:v>#806</x:v>
      </x:c>
      <x:c r="E8" s="51" t="str">
        <x:v>https://github.com/open-mmlab/mmaction2/issues/806</x:v>
      </x:c>
      <x:c r="F8" s="52" t="n">
        <x:v>46239</x:v>
      </x:c>
      <x:c r="G8" s="51" t="str">
        <x:v>数据准备 / AVA 帧提取</x:v>
      </x:c>
      <x:c r="H8" s="51" t="str">
        <x:v>生成 AVA long-term feature bank 时读取不存在的帧文件，不同视频实际提取帧数低于流程预期。</x:v>
      </x:c>
      <x:c r="I8" s="51" t="str">
        <x:v>数据完整性 / 视频抽帧</x:v>
      </x:c>
      <x:c r="J8" s="51" t="str">
        <x:v>特征提取中断，后续训练所需 LFB 无法生成。</x:v>
      </x:c>
      <x:c r="K8" s="51" t="str">
        <x:v>是。可在任务启动前核对每段视频时长、帧率、预期帧数与落盘文件数。</x:v>
      </x:c>
      <x:c r="L8" s="51" t="str">
        <x:v>维护者和用户将差异定位到抽帧方式，建议重新裁剪视频并使用 ffmpeg 抽帧，避免 OpenCV 产生帧数偏差。</x:v>
      </x:c>
      <x:c r="M8" s="51" t="str">
        <x:v>部分解决；根因和建议明确，原用户表示将改用 ffmpeg。</x:v>
      </x:c>
      <x:c r="N8" s="51" t="str">
        <x:v>【产品推断】提供视频帧完整性清单，自动比较标注时间范围、预期帧数与实际文件数。</x:v>
      </x:c>
      <x:c r="O8" s="51" t="str">
        <x:v>03_Public_Cases/Source_Archive/C-007/source.md</x:v>
      </x:c>
      <x:c r="P8" s="51" t="str">
        <x:v>通过：未保留用户名、私有路径、Token 或个人敏感信息</x:v>
      </x:c>
    </x:row>
    <x:row r="9" ht="108" customHeight="1">
      <x:c r="A9" s="51" t="str">
        <x:v>C-008</x:v>
      </x:c>
      <x:c r="B9" s="51" t="str">
        <x:v>GitHub Issue</x:v>
      </x:c>
      <x:c r="C9" s="51" t="str">
        <x:v>open-mmlab/mmaction2</x:v>
      </x:c>
      <x:c r="D9" s="51" t="str">
        <x:v>#904</x:v>
      </x:c>
      <x:c r="E9" s="51" t="str">
        <x:v>https://github.com/open-mmlab/mmaction2/issues/904</x:v>
      </x:c>
      <x:c r="F9" s="52" t="n">
        <x:v>46239</x:v>
      </x:c>
      <x:c r="G9" s="51" t="str">
        <x:v>推理 / 光流输入</x:v>
      </x:c>
      <x:c r="H9" s="51" t="str">
        <x:v>对光流帧执行单视频推理时，工具错误计算总帧数并请求不存在的文件；简单修改 `start_index` 无效。</x:v>
      </x:c>
      <x:c r="I9" s="51" t="str">
        <x:v>输入计数 / 模态适配缺陷</x:v>
      </x:c>
      <x:c r="J9" s="51" t="str">
        <x:v>光流模型推理直接失败。</x:v>
      </x:c>
      <x:c r="K9" s="51" t="str">
        <x:v>是。读取输入目录后按模态核对文件命名规则、x/y 光流对数和最大索引即可发现。</x:v>
      </x:c>
      <x:c r="L9" s="51" t="str">
        <x:v>讨论确认 `inference_recognizer` 对光流总帧数计算有缺陷；用户以文件数除以 2 绕过，贡献者提出按文件名和模态计算的修复。</x:v>
      </x:c>
      <x:c r="M9" s="51" t="str">
        <x:v>已解决；用户确认修复方向有效。</x:v>
      </x:c>
      <x:c r="N9" s="51" t="str">
        <x:v>【产品推断】输入检查器应识别 RGB 与光流模态，按真实文件模式计算有效帧数而非沿用统一逻辑。</x:v>
      </x:c>
      <x:c r="O9" s="51" t="str">
        <x:v>03_Public_Cases/Source_Archive/C-008/source.md</x:v>
      </x:c>
      <x:c r="P9" s="51" t="str">
        <x:v>通过：未保留用户名、私有路径、Token 或个人敏感信息</x:v>
      </x:c>
    </x:row>
    <x:row r="10" ht="108" customHeight="1">
      <x:c r="A10" s="51" t="str">
        <x:v>C-009</x:v>
      </x:c>
      <x:c r="B10" s="51" t="str">
        <x:v>GitHub Issue</x:v>
      </x:c>
      <x:c r="C10" s="51" t="str">
        <x:v>open-mmlab/mmaction2</x:v>
      </x:c>
      <x:c r="D10" s="51" t="str">
        <x:v>#421</x:v>
      </x:c>
      <x:c r="E10" s="51" t="str">
        <x:v>https://github.com/open-mmlab/mmaction2/issues/421</x:v>
      </x:c>
      <x:c r="F10" s="52" t="n">
        <x:v>46239</x:v>
      </x:c>
      <x:c r="G10" s="51" t="str">
        <x:v>训练启动 / 数据加载</x:v>
      </x:c>
      <x:c r="H10" s="51" t="str">
        <x:v>单 GPU 训练停在数据加载阶段，没有继续输出；将 `workers_per_gpu` 设为 0 后恢复。</x:v>
      </x:c>
      <x:c r="I10" s="51" t="str">
        <x:v>系统资源 / 多进程共享内存</x:v>
      </x:c>
      <x:c r="J10" s="51" t="str">
        <x:v>训练看似卡死，用户难以判断是程序故障还是资源不足。</x:v>
      </x:c>
      <x:c r="K10" s="51" t="str">
        <x:v>部分可以。可检测容器或主机共享内存大小，并根据 worker 数和样本体积估算风险。</x:v>
      </x:c>
      <x:c r="L10" s="51" t="str">
        <x:v>回复将问题定位为多进程 DataLoader 的共享内存不足，建议降低 worker 数；用户确认设为 0 可运行。</x:v>
      </x:c>
      <x:c r="M10" s="51" t="str">
        <x:v>已解决。</x:v>
      </x:c>
      <x:c r="N10" s="51" t="str">
        <x:v>【产品推断】启动前检查 `/dev/shm`、worker 数和 batch 配置，并给出安全初始值。</x:v>
      </x:c>
      <x:c r="O10" s="51" t="str">
        <x:v>03_Public_Cases/Source_Archive/C-009/source.md</x:v>
      </x:c>
      <x:c r="P10" s="51" t="str">
        <x:v>通过：未保留用户名、私有路径、Token 或个人敏感信息</x:v>
      </x:c>
    </x:row>
    <x:row r="11" ht="108" customHeight="1">
      <x:c r="A11" s="51" t="str">
        <x:v>C-010</x:v>
      </x:c>
      <x:c r="B11" s="51" t="str">
        <x:v>GitHub Issue</x:v>
      </x:c>
      <x:c r="C11" s="51" t="str">
        <x:v>open-mmlab/mmaction2</x:v>
      </x:c>
      <x:c r="D11" s="51" t="str">
        <x:v>#670</x:v>
      </x:c>
      <x:c r="E11" s="51" t="str">
        <x:v>https://github.com/open-mmlab/mmaction2/issues/670</x:v>
      </x:c>
      <x:c r="F11" s="52" t="n">
        <x:v>46239</x:v>
      </x:c>
      <x:c r="G11" s="51" t="str">
        <x:v>模型训练 / 时间采样</x:v>
      </x:c>
      <x:c r="H11" s="51" t="str">
        <x:v>自定义 AVA 数据训练 SlowFast 时，时间维度经采样后变为 0；增大 clip length 后又触发 CUDA 显存不足。</x:v>
      </x:c>
      <x:c r="I11" s="51" t="str">
        <x:v>配置耦合 / 时间采样与显存</x:v>
      </x:c>
      <x:c r="J11" s="51" t="str">
        <x:v>模型无法完成前向计算，调整后又因显存不足中断。</x:v>
      </x:c>
      <x:c r="K11" s="51" t="str">
        <x:v>部分可以。静态计算 clip length、resample rate、speed ratio 各阶段的时间维度，并估算显存。</x:v>
      </x:c>
      <x:c r="L11" s="51" t="str">
        <x:v>回复建议降低 resample rate 或增大 clip length，同时通过降低采样参数、batch 或更换 GPU 处理 OOM，并检查自定义类别配置。</x:v>
      </x:c>
      <x:c r="M11" s="51" t="str">
        <x:v>部分解决；给出可行调参方向，但存在精度与资源权衡。</x:v>
      </x:c>
      <x:c r="N11" s="51" t="str">
        <x:v>【产品推断】配置检查器可联动验证时间维度、类别数和显存预算，提前提示相互冲突的参数。</x:v>
      </x:c>
      <x:c r="O11" s="51" t="str">
        <x:v>03_Public_Cases/Source_Archive/C-010/source.md</x:v>
      </x:c>
      <x:c r="P11" s="51" t="str">
        <x:v>通过：未保留用户名、私有路径、Token 或个人敏感信息</x:v>
      </x:c>
    </x:row>
    <x:row r="12" ht="108" customHeight="1">
      <x:c r="A12" s="51" t="str">
        <x:v>C-011</x:v>
      </x:c>
      <x:c r="B12" s="51" t="str">
        <x:v>GitHub Issue</x:v>
      </x:c>
      <x:c r="C12" s="51" t="str">
        <x:v>open-mmlab/mmaction2</x:v>
      </x:c>
      <x:c r="D12" s="51" t="str">
        <x:v>#414</x:v>
      </x:c>
      <x:c r="E12" s="51" t="str">
        <x:v>https://github.com/open-mmlab/mmaction2/issues/414</x:v>
      </x:c>
      <x:c r="F12" s="52" t="n">
        <x:v>46239</x:v>
      </x:c>
      <x:c r="G12" s="51" t="str">
        <x:v>模型部署 / 格式转换</x:v>
      </x:c>
      <x:c r="H12" s="51" t="str">
        <x:v>模型可导出并通过 ONNX 验证，但 TensorRT 转换因 PyTorch 1.7 生成不支持的 ONNX `If` 节点失败。</x:v>
      </x:c>
      <x:c r="I12" s="51" t="str">
        <x:v>部署兼容性 / 算子支持</x:v>
      </x:c>
      <x:c r="J12" s="51" t="str">
        <x:v>模型无法转换为 TensorRT 引擎，部署链路中断。</x:v>
      </x:c>
      <x:c r="K12" s="51" t="str">
        <x:v>是。可在导出前比对 PyTorch、ONNX opset、TensorRT 版本及已知不支持算子。</x:v>
      </x:c>
      <x:c r="L12" s="51" t="str">
        <x:v>维护者建议降级 PyTorch；用户在 PyTorch 1.5 环境中得到 `squeeze` 节点并成功完成 TensorRT 转换。</x:v>
      </x:c>
      <x:c r="M12" s="51" t="str">
        <x:v>已解决。</x:v>
      </x:c>
      <x:c r="N12" s="51" t="str">
        <x:v>【产品推断】维护转换兼容矩阵，并在导出前扫描可能产生的不支持控制流算子。</x:v>
      </x:c>
      <x:c r="O12" s="51" t="str">
        <x:v>03_Public_Cases/Source_Archive/C-011/source.md</x:v>
      </x:c>
      <x:c r="P12" s="51" t="str">
        <x:v>通过：未保留用户名、私有路径、Token 或个人敏感信息</x:v>
      </x:c>
    </x:row>
    <x:row r="13" ht="108" customHeight="1">
      <x:c r="A13" s="51" t="str">
        <x:v>C-012</x:v>
      </x:c>
      <x:c r="B13" s="51" t="str">
        <x:v>GitHub Issue</x:v>
      </x:c>
      <x:c r="C13" s="51" t="str">
        <x:v>open-mmlab/mmaction2</x:v>
      </x:c>
      <x:c r="D13" s="51" t="str">
        <x:v>#732</x:v>
      </x:c>
      <x:c r="E13" s="51" t="str">
        <x:v>https://github.com/open-mmlab/mmaction2/issues/732</x:v>
      </x:c>
      <x:c r="F13" s="52" t="n">
        <x:v>46239</x:v>
      </x:c>
      <x:c r="G13" s="51" t="str">
        <x:v>训练评估 / 自定义 AVA</x:v>
      </x:c>
      <x:c r="H13" s="51" t="str">
        <x:v>受硬件限制将 clip length 调低后，自定义 SlowFast 训练多轮 mAP 始终为 0，并伴随类别数断言和显存约束。</x:v>
      </x:c>
      <x:c r="I13" s="51" t="str">
        <x:v>训练配置 / 指标异常</x:v>
      </x:c>
      <x:c r="J13" s="51" t="str">
        <x:v>训练虽能运行，但模型没有产生有效检测结果，计算成本被浪费。</x:v>
      </x:c>
      <x:c r="K13" s="51" t="str">
        <x:v>部分可以。可在正式训练前检查类别映射、clip 配置、batch 与学习率，并进行短程过拟合测试。</x:v>
      </x:c>
      <x:c r="L13" s="51" t="str">
        <x:v>回复建议核对配置，使用更轻的 SlowOnly，设置较小 batch；若恢复 clip length，应同步降低 batch 和学习率。</x:v>
      </x:c>
      <x:c r="M13" s="51" t="str">
        <x:v>未确认；获得诊断和配置建议，但没有用户最终成功记录。</x:v>
      </x:c>
      <x:c r="N13" s="51" t="str">
        <x:v>【产品推断】提供小样本过拟合与早期指标守门，在 mAP 长期为 0 时自动检查类别映射和关键训练参数。</x:v>
      </x:c>
      <x:c r="O13" s="51" t="str">
        <x:v>03_Public_Cases/Source_Archive/C-012/source.md</x:v>
      </x:c>
      <x:c r="P13" s="51" t="str">
        <x:v>通过：未保留用户名、私有路径、Token 或个人敏感信息</x:v>
      </x:c>
    </x:row>
    <x:row r="14" ht="108" customHeight="1">
      <x:c r="A14" s="51" t="str">
        <x:v>C-013</x:v>
      </x:c>
      <x:c r="B14" s="51" t="str">
        <x:v>GitHub Issue</x:v>
      </x:c>
      <x:c r="C14" s="51" t="str">
        <x:v>facebookresearch/detectron2</x:v>
      </x:c>
      <x:c r="D14" s="51" t="str">
        <x:v>#4354</x:v>
      </x:c>
      <x:c r="E14" s="51" t="str">
        <x:v>https://github.com/facebookresearch/detectron2/issues/4354</x:v>
      </x:c>
      <x:c r="F14" s="52" t="n">
        <x:v>46239</x:v>
      </x:c>
      <x:c r="G14" s="51" t="str">
        <x:v>模型导出 / ONNX</x:v>
      </x:c>
      <x:c r="H14" s="51" t="str">
        <x:v>按官方命令导出全景分割模型时，无法从 `detectron2.export` 导入 `Caffe2Tracer`。</x:v>
      </x:c>
      <x:c r="I14" s="51" t="str">
        <x:v>API 兼容性 / 导出工具缺失</x:v>
      </x:c>
      <x:c r="J14" s="51" t="str">
        <x:v>官方导出流程无法启动，模型不能进入后续部署验证。</x:v>
      </x:c>
      <x:c r="K14" s="51" t="str">
        <x:v>是。可在执行前检查安装版本是否包含文档引用的导出类和依赖。</x:v>
      </x:c>
      <x:c r="L14" s="51" t="str">
        <x:v>讨论指出相关修复仍在 PR 中，多名用户报告相同问题；原作者明确表示问题未解决。</x:v>
      </x:c>
      <x:c r="M14" s="51" t="str">
        <x:v>未解决；Issue 仍开放。</x:v>
      </x:c>
      <x:c r="N14" s="51" t="str">
        <x:v>【产品推断】将文档命令与已安装包 API 做预检，并标注尚未发布或已移除的接口。</x:v>
      </x:c>
      <x:c r="O14" s="51" t="str">
        <x:v>03_Public_Cases/Source_Archive/C-013/source.md</x:v>
      </x:c>
      <x:c r="P14" s="51" t="str">
        <x:v>通过：未保留用户名、私有路径、Token 或个人敏感信息</x:v>
      </x:c>
    </x:row>
    <x:row r="15" ht="108" customHeight="1">
      <x:c r="A15" s="51" t="str">
        <x:v>C-014</x:v>
      </x:c>
      <x:c r="B15" s="51" t="str">
        <x:v>GitHub Issue</x:v>
      </x:c>
      <x:c r="C15" s="51" t="str">
        <x:v>facebookresearch/detectron2</x:v>
      </x:c>
      <x:c r="D15" s="51" t="str">
        <x:v>#4487</x:v>
      </x:c>
      <x:c r="E15" s="51" t="str">
        <x:v>https://github.com/facebookresearch/detectron2/issues/4487</x:v>
      </x:c>
      <x:c r="F15" s="52" t="n">
        <x:v>46239</x:v>
      </x:c>
      <x:c r="G15" s="51" t="str">
        <x:v>环境启动 / 示例运行</x:v>
      </x:c>
      <x:c r="H15" s="51" t="str">
        <x:v>官方 Colab 示例突然无法从 `torch.fx._symbolic_trace` 导入 `is_fx_tracing`。</x:v>
      </x:c>
      <x:c r="I15" s="51" t="str">
        <x:v>依赖版本兼容</x:v>
      </x:c>
      <x:c r="J15" s="51" t="str">
        <x:v>用户在第一步导入阶段即失败，无法运行官方示例。</x:v>
      </x:c>
      <x:c r="K15" s="51" t="str">
        <x:v>是。可按兼容矩阵锁定 PyTorch 与 Detectron2 版本，并在启动前执行导入测试。</x:v>
      </x:c>
      <x:c r="L15" s="51" t="str">
        <x:v>社区提供临时注释代码的绕过方法，也有人通过安装匹配的 Detectron2 发布版本恢复运行。</x:v>
      </x:c>
      <x:c r="M15" s="51" t="str">
        <x:v>部分解决；有社区绕过方案，无统一维护者结论。</x:v>
      </x:c>
      <x:c r="N15" s="51" t="str">
        <x:v>【产品推断】环境解析器应识别内部 API 依赖，推荐经过验证的版本组合而非仅检查包是否安装。</x:v>
      </x:c>
      <x:c r="O15" s="51" t="str">
        <x:v>03_Public_Cases/Source_Archive/C-014/source.md</x:v>
      </x:c>
      <x:c r="P15" s="51" t="str">
        <x:v>通过：未保留用户名、私有路径、Token 或个人敏感信息</x:v>
      </x:c>
    </x:row>
    <x:row r="16" ht="108" customHeight="1">
      <x:c r="A16" s="51" t="str">
        <x:v>C-015</x:v>
      </x:c>
      <x:c r="B16" s="51" t="str">
        <x:v>GitHub Issue</x:v>
      </x:c>
      <x:c r="C16" s="51" t="str">
        <x:v>facebookresearch/detectron2</x:v>
      </x:c>
      <x:c r="D16" s="51" t="str">
        <x:v>#1018</x:v>
      </x:c>
      <x:c r="E16" s="51" t="str">
        <x:v>https://github.com/facebookresearch/detectron2/issues/1018</x:v>
      </x:c>
      <x:c r="F16" s="52" t="n">
        <x:v>46239</x:v>
      </x:c>
      <x:c r="G16" s="51" t="str">
        <x:v>环境启动 / 扩展导入</x:v>
      </x:c>
      <x:c r="H16" s="51" t="str">
        <x:v>运行 PointRend 或 DensePose 示例时无法导入 Detectron2 编译扩展 `_C`。</x:v>
      </x:c>
      <x:c r="I16" s="51" t="str">
        <x:v>安装路径 / 本地包遮蔽</x:v>
      </x:c>
      <x:c r="J16" s="51" t="str">
        <x:v>模型组件无法加载，示例不能启动。</x:v>
      </x:c>
      <x:c r="K16" s="51" t="str">
        <x:v>是。可检查当前工作目录、实际导入路径和扩展文件是否来自同一安装。</x:v>
      </x:c>
      <x:c r="L16" s="51" t="str">
        <x:v>维护者指出用户在源码仓库根目录运行，未编译源码遮蔽了已安装包；建议离开该目录并按安装文档确认安装。</x:v>
      </x:c>
      <x:c r="M16" s="51" t="str">
        <x:v>根因和处理方法明确；Issue 已关闭。</x:v>
      </x:c>
      <x:c r="N16" s="51" t="str">
        <x:v>【产品推断】启动诊断应打印模块真实加载路径，并检测源码目录遮蔽已安装包的情况。</x:v>
      </x:c>
      <x:c r="O16" s="51" t="str">
        <x:v>03_Public_Cases/Source_Archive/C-015/source.md</x:v>
      </x:c>
      <x:c r="P16" s="51" t="str">
        <x:v>通过：未保留用户名、私有路径、Token 或个人敏感信息</x:v>
      </x:c>
    </x:row>
    <x:row r="17" ht="108" customHeight="1">
      <x:c r="A17" s="51" t="str">
        <x:v>C-016</x:v>
      </x:c>
      <x:c r="B17" s="51" t="str">
        <x:v>GitHub Issue</x:v>
      </x:c>
      <x:c r="C17" s="51" t="str">
        <x:v>facebookresearch/detectron2</x:v>
      </x:c>
      <x:c r="D17" s="51" t="str">
        <x:v>#863</x:v>
      </x:c>
      <x:c r="E17" s="51" t="str">
        <x:v>https://github.com/facebookresearch/detectron2/issues/863</x:v>
      </x:c>
      <x:c r="F17" s="52" t="n">
        <x:v>46239</x:v>
      </x:c>
      <x:c r="G17" s="51" t="str">
        <x:v>数据加载 / 自定义标注</x:v>
      </x:c>
      <x:c r="H17" s="51" t="str">
        <x:v>自定义 COCO 数据触发图像尺寸不匹配；手机图片的 EXIF 方向导致读取后的宽高与标注坐标系不一致。</x:v>
      </x:c>
      <x:c r="I17" s="51" t="str">
        <x:v>数据一致性 / EXIF 方向</x:v>
      </x:c>
      <x:c r="J17" s="51" t="str">
        <x:v>训练在读取特定图片时中断。</x:v>
      </x:c>
      <x:c r="K17" s="51" t="str">
        <x:v>是。导入数据时可统一 EXIF 方向并比较标注宽高、解码后尺寸和旋转信息。</x:v>
      </x:c>
      <x:c r="L17" s="51" t="str">
        <x:v>维护者解释 Pillow 会依据 EXIF 转置图像；用户避开含 EXIF 的手机图片后错误消失。</x:v>
      </x:c>
      <x:c r="M17" s="51" t="str">
        <x:v>已解决。</x:v>
      </x:c>
      <x:c r="N17" s="51" t="str">
        <x:v>【产品推断】数据体检应规范化 EXIF，并在标注入库前验证坐标系与实际像素尺寸一致。</x:v>
      </x:c>
      <x:c r="O17" s="51" t="str">
        <x:v>03_Public_Cases/Source_Archive/C-016/source.md</x:v>
      </x:c>
      <x:c r="P17" s="51" t="str">
        <x:v>通过：未保留用户名、私有路径、Token 或个人敏感信息</x:v>
      </x:c>
    </x:row>
    <x:row r="18" ht="108" customHeight="1">
      <x:c r="A18" s="51" t="str">
        <x:v>C-017</x:v>
      </x:c>
      <x:c r="B18" s="51" t="str">
        <x:v>GitHub Issue</x:v>
      </x:c>
      <x:c r="C18" s="51" t="str">
        <x:v>facebookresearch/detectron2</x:v>
      </x:c>
      <x:c r="D18" s="51" t="str">
        <x:v>#2365</x:v>
      </x:c>
      <x:c r="E18" s="51" t="str">
        <x:v>https://github.com/facebookresearch/detectron2/issues/2365</x:v>
      </x:c>
      <x:c r="F18" s="52" t="n">
        <x:v>46239</x:v>
      </x:c>
      <x:c r="G18" s="51" t="str">
        <x:v>模型训练 / 标签映射</x:v>
      </x:c>
      <x:c r="H18" s="51" t="str">
        <x:v>自定义数据训练出现 CUDA device-side assert，异步堆栈难以直接定位。</x:v>
      </x:c>
      <x:c r="I18" s="51" t="str">
        <x:v>标签质量 / 类别 ID 越界</x:v>
      </x:c>
      <x:c r="J18" s="51" t="str">
        <x:v>训练崩溃，且 CUDA 异步报错掩盖真实数据问题。</x:v>
      </x:c>
      <x:c r="K18" s="51" t="str">
        <x:v>是。可在上 GPU 前验证所有 category_id 是否位于连续合法范围。</x:v>
      </x:c>
      <x:c r="L18" s="51" t="str">
        <x:v>维护者建议设置 `CUDA_LAUNCH_BLOCKING=1` 获取准确位置，随后发现数据中存在 333，而模型只预期 0～2。</x:v>
      </x:c>
      <x:c r="M18" s="51" t="str">
        <x:v>已定位并解决根因。</x:v>
      </x:c>
      <x:c r="N18" s="51" t="str">
        <x:v>【产品推断】数据校验器应检查类别 ID 范围、连续性和映射表，并为 CUDA 异步错误提供诊断模式。</x:v>
      </x:c>
      <x:c r="O18" s="51" t="str">
        <x:v>03_Public_Cases/Source_Archive/C-017/source.md</x:v>
      </x:c>
      <x:c r="P18" s="51" t="str">
        <x:v>通过：未保留用户名、私有路径、Token 或个人敏感信息</x:v>
      </x:c>
    </x:row>
    <x:row r="19" ht="108" customHeight="1">
      <x:c r="A19" s="51" t="str">
        <x:v>C-018</x:v>
      </x:c>
      <x:c r="B19" s="51" t="str">
        <x:v>GitHub Issue</x:v>
      </x:c>
      <x:c r="C19" s="51" t="str">
        <x:v>facebookresearch/detectron2</x:v>
      </x:c>
      <x:c r="D19" s="51" t="str">
        <x:v>#788</x:v>
      </x:c>
      <x:c r="E19" s="51" t="str">
        <x:v>https://github.com/facebookresearch/detectron2/issues/788</x:v>
      </x:c>
      <x:c r="F19" s="52" t="n">
        <x:v>46239</x:v>
      </x:c>
      <x:c r="G19" s="51" t="str">
        <x:v>数据加载 / 图像解码</x:v>
      </x:c>
      <x:c r="H19" s="51" t="str">
        <x:v>带 EXIF 方向标记的图片经 Pillow 转置后，尺寸与 VIA 标注记录不一致，触发 SizeMismatchError。</x:v>
      </x:c>
      <x:c r="I19" s="51" t="str">
        <x:v>图像解码兼容 / EXIF</x:v>
      </x:c>
      <x:c r="J19" s="51" t="str">
        <x:v>自定义数据集训练无法处理相关图片。</x:v>
      </x:c>
      <x:c r="K19" s="51" t="str">
        <x:v>是。可对不同解码器的尺寸和方向结果做一致性检测，并在标注前规范化图片。</x:v>
      </x:c>
      <x:c r="L19" s="51" t="str">
        <x:v>维护者将问题定位到 Pillow 的读取行为并建议自定义 dataloader；用户分享了基于 OpenCV 的可用读取方案。</x:v>
      </x:c>
      <x:c r="M19" s="51" t="str">
        <x:v>部分解决；用户有可用绕过方案，但读取实现仍有适用范围提醒。</x:v>
      </x:c>
      <x:c r="N19" s="51" t="str">
        <x:v>【产品推断】预处理阶段应固定图像解码策略、移除或应用 EXIF 后重写尺寸，避免工具间解释不一致。</x:v>
      </x:c>
      <x:c r="O19" s="51" t="str">
        <x:v>03_Public_Cases/Source_Archive/C-018/source.md</x:v>
      </x:c>
      <x:c r="P19" s="51" t="str">
        <x:v>通过：未保留用户名、私有路径、Token 或个人敏感信息</x:v>
      </x:c>
    </x:row>
    <x:row r="20" ht="108" customHeight="1">
      <x:c r="A20" s="51" t="str">
        <x:v>C-019</x:v>
      </x:c>
      <x:c r="B20" s="51" t="str">
        <x:v>GitHub Issue</x:v>
      </x:c>
      <x:c r="C20" s="51" t="str">
        <x:v>facebookresearch/detectron2</x:v>
      </x:c>
      <x:c r="D20" s="51" t="str">
        <x:v>#2090</x:v>
      </x:c>
      <x:c r="E20" s="51" t="str">
        <x:v>https://github.com/facebookresearch/detectron2/issues/2090</x:v>
      </x:c>
      <x:c r="F20" s="52" t="n">
        <x:v>46239</x:v>
      </x:c>
      <x:c r="G20" s="51" t="str">
        <x:v>环境安装 / 源码编译</x:v>
      </x:c>
      <x:c r="H20" s="51" t="str">
        <x:v>通过 pip 从源码安装 Detectron2 时发生 C++/NVCC 编译错误。</x:v>
      </x:c>
      <x:c r="I20" s="51" t="str">
        <x:v>编译工具链兼容</x:v>
      </x:c>
      <x:c r="J20" s="51" t="str">
        <x:v>依赖无法安装，后续模型运行完全阻塞。</x:v>
      </x:c>
      <x:c r="K20" s="51" t="str">
        <x:v>是。可在编译前比对 PyTorch CUDA、NVCC、GCC 和 Ninja 版本。</x:v>
      </x:c>
      <x:c r="L20" s="51" t="str">
        <x:v>维护者指出 NVCC 必须匹配 PyTorch CUDA，且 NVCC 与 GCC 组合需兼容；社区还报告升级 Ninja 后成功。</x:v>
      </x:c>
      <x:c r="M20" s="51" t="str">
        <x:v>部分解决；根因范围明确，并有成功版本组合记录。</x:v>
      </x:c>
      <x:c r="N20" s="51" t="str">
        <x:v>【产品推断】环境检查器应同时验证 PyTorch CUDA、系统 CUDA、编译器和构建工具，而非只记录 CUDA 版本。</x:v>
      </x:c>
      <x:c r="O20" s="51" t="str">
        <x:v>03_Public_Cases/Source_Archive/C-019/source.md</x:v>
      </x:c>
      <x:c r="P20" s="51" t="str">
        <x:v>通过：未保留用户名、私有路径、Token 或个人敏感信息</x:v>
      </x:c>
    </x:row>
    <x:row r="21" ht="108" customHeight="1">
      <x:c r="A21" s="51" t="str">
        <x:v>C-020</x:v>
      </x:c>
      <x:c r="B21" s="51" t="str">
        <x:v>GitHub Issue</x:v>
      </x:c>
      <x:c r="C21" s="51" t="str">
        <x:v>facebookresearch/detectron2</x:v>
      </x:c>
      <x:c r="D21" s="51" t="str">
        <x:v>#810</x:v>
      </x:c>
      <x:c r="E21" s="51" t="str">
        <x:v>https://github.com/facebookresearch/detectron2/issues/810</x:v>
      </x:c>
      <x:c r="F21" s="52" t="n">
        <x:v>46239</x:v>
      </x:c>
      <x:c r="G21" s="51" t="str">
        <x:v>训练监控 / 验证损失</x:v>
      </x:c>
      <x:c r="H21" s="51" t="str">
        <x:v>自定义 Hook 使用默认测试 DataLoader 计算验证损失时缺少 ground truth，切换 loader 后又因调用方式错误失败。</x:v>
      </x:c>
      <x:c r="I21" s="51" t="str">
        <x:v>数据管线 / Mapper 配置</x:v>
      </x:c>
      <x:c r="J21" s="51" t="str">
        <x:v>无法在训练过程中记录验证损失，影响过拟合监控。</x:v>
      </x:c>
      <x:c r="K21" s="51" t="str">
        <x:v>部分可以。可检查 loader 的 mapper 是否保留标注，以及模型在训练/评估模式下的返回契约。</x:v>
      </x:c>
      <x:c r="L21" s="51" t="str">
        <x:v>维护者说明默认测试 mapper 会移除 ground truth，应通过 `mapper=` 构建保留标注的数据加载器；用户修正复制错误后确认可用。</x:v>
      </x:c>
      <x:c r="M21" s="51" t="str">
        <x:v>已解决。</x:v>
      </x:c>
      <x:c r="N21" s="51" t="str">
        <x:v>【产品推断】训练监控配置向导应验证数据加载器是否提供目标字段，并区分预测输出与损失输出所需模式。</x:v>
      </x:c>
      <x:c r="O21" s="51" t="str">
        <x:v>03_Public_Cases/Source_Archive/C-020/source.md</x:v>
      </x:c>
      <x:c r="P21" s="51" t="str">
        <x:v>通过：未保留用户名、私有路径、Token 或个人敏感信息</x:v>
      </x:c>
    </x:row>
    <x:row r="22">
      <x:c r="F22" s="27"/>
    </x:row>
    <x:row r="23">
      <x:c r="F23" s="27"/>
    </x:row>
    <x:row r="24">
      <x:c r="F24" s="27"/>
    </x:row>
    <x:row r="25">
      <x:c r="F25" s="27"/>
    </x:row>
    <x:row r="26">
      <x:c r="F26" s="27"/>
    </x:row>
    <x:row r="27">
      <x:c r="F27" s="27"/>
    </x:row>
    <x:row r="28">
      <x:c r="F28" s="27"/>
    </x:row>
    <x:row r="29">
      <x:c r="F29" s="27"/>
    </x:row>
    <x:row r="30">
      <x:c r="F30" s="27"/>
    </x:row>
    <x:row r="31">
      <x:c r="F31" s="27"/>
    </x:row>
    <x:row r="32">
      <x:c r="F32" s="27"/>
    </x:row>
    <x:row r="33">
      <x:c r="F33" s="27"/>
    </x:row>
    <x:row r="34">
      <x:c r="F34" s="27"/>
    </x:row>
    <x:row r="35">
      <x:c r="F35" s="27"/>
    </x:row>
    <x:row r="36">
      <x:c r="F36" s="27"/>
    </x:row>
    <x:row r="37">
      <x:c r="F37" s="27"/>
    </x:row>
    <x:row r="38">
      <x:c r="F38" s="27"/>
    </x:row>
    <x:row r="39">
      <x:c r="F39" s="27"/>
    </x:row>
    <x:row r="40">
      <x:c r="F40" s="27"/>
    </x:row>
    <x:row r="41">
      <x:c r="F41" s="27"/>
    </x:row>
    <x:row r="42">
      <x:c r="F42" s="27"/>
    </x:row>
    <x:row r="43">
      <x:c r="F43" s="27"/>
    </x:row>
    <x:row r="44">
      <x:c r="F44" s="27"/>
    </x:row>
    <x:row r="45">
      <x:c r="F45" s="27"/>
    </x:row>
    <x:row r="46">
      <x:c r="F46" s="27"/>
    </x:row>
    <x:row r="47">
      <x:c r="F47" s="27"/>
    </x:row>
    <x:row r="48">
      <x:c r="F48" s="27"/>
    </x:row>
    <x:row r="49">
      <x:c r="F49" s="27"/>
    </x:row>
    <x:row r="50">
      <x:c r="F50" s="27"/>
    </x:row>
    <x:row r="51">
      <x:c r="F51" s="27"/>
    </x:row>
    <x:row r="52">
      <x:c r="F52" s="27"/>
    </x:row>
    <x:row r="53">
      <x:c r="F53" s="27"/>
    </x:row>
    <x:row r="54">
      <x:c r="F54" s="27"/>
    </x:row>
    <x:row r="55">
      <x:c r="F55" s="27"/>
    </x:row>
    <x:row r="56">
      <x:c r="F56" s="27"/>
    </x:row>
    <x:row r="57">
      <x:c r="F57" s="27"/>
    </x:row>
    <x:row r="58">
      <x:c r="F58" s="27"/>
    </x:row>
    <x:row r="59">
      <x:c r="F59" s="27"/>
    </x:row>
    <x:row r="60">
      <x:c r="F60" s="27"/>
    </x:row>
    <x:row r="61">
      <x:c r="F61" s="27"/>
    </x:row>
    <x:row r="62">
      <x:c r="F62" s="27"/>
    </x:row>
    <x:row r="63">
      <x:c r="F63" s="27"/>
    </x:row>
    <x:row r="64">
      <x:c r="F64" s="27"/>
    </x:row>
    <x:row r="65">
      <x:c r="F65" s="27"/>
    </x:row>
    <x:row r="66">
      <x:c r="F66" s="27"/>
    </x:row>
    <x:row r="67">
      <x:c r="F67" s="27"/>
    </x:row>
    <x:row r="68">
      <x:c r="F68" s="27"/>
    </x:row>
    <x:row r="69">
      <x:c r="F69" s="27"/>
    </x:row>
    <x:row r="70">
      <x:c r="F70" s="27"/>
    </x:row>
    <x:row r="71">
      <x:c r="F71" s="27"/>
    </x:row>
    <x:row r="72">
      <x:c r="F72" s="27"/>
    </x:row>
    <x:row r="73">
      <x:c r="F73" s="27"/>
    </x:row>
    <x:row r="74">
      <x:c r="F74" s="27"/>
    </x:row>
    <x:row r="75">
      <x:c r="F75" s="27"/>
    </x:row>
    <x:row r="76">
      <x:c r="F76" s="27"/>
    </x:row>
    <x:row r="77">
      <x:c r="F77" s="27"/>
    </x:row>
    <x:row r="78">
      <x:c r="F78" s="27"/>
    </x:row>
    <x:row r="79">
      <x:c r="F79" s="27"/>
    </x:row>
    <x:row r="80">
      <x:c r="F80" s="27"/>
    </x:row>
    <x:row r="81">
      <x:c r="F81" s="27"/>
    </x:row>
    <x:row r="82">
      <x:c r="F82" s="27"/>
    </x:row>
    <x:row r="83">
      <x:c r="F83" s="27"/>
    </x:row>
    <x:row r="84">
      <x:c r="F84" s="27"/>
    </x:row>
    <x:row r="85">
      <x:c r="F85" s="27"/>
    </x:row>
    <x:row r="86">
      <x:c r="F86" s="27"/>
    </x:row>
    <x:row r="87">
      <x:c r="F87" s="27"/>
    </x:row>
    <x:row r="88">
      <x:c r="F88" s="27"/>
    </x:row>
    <x:row r="89">
      <x:c r="F89" s="27"/>
    </x:row>
    <x:row r="90">
      <x:c r="F90" s="27"/>
    </x:row>
    <x:row r="91">
      <x:c r="F91" s="27"/>
    </x:row>
    <x:row r="92">
      <x:c r="F92" s="27"/>
    </x:row>
    <x:row r="93">
      <x:c r="F93" s="27"/>
    </x:row>
    <x:row r="94">
      <x:c r="F94" s="27"/>
    </x:row>
    <x:row r="95">
      <x:c r="F95" s="27"/>
    </x:row>
    <x:row r="96">
      <x:c r="F96" s="27"/>
    </x:row>
    <x:row r="97">
      <x:c r="F97" s="27"/>
    </x:row>
    <x:row r="98">
      <x:c r="F98" s="27"/>
    </x:row>
    <x:row r="99">
      <x:c r="F99" s="27"/>
    </x:row>
    <x:row r="100">
      <x:c r="F100" s="27"/>
    </x:row>
    <x:row r="101">
      <x:c r="F101" s="27"/>
    </x:row>
    <x:row r="102">
      <x:c r="F102" s="27"/>
    </x:row>
    <x:row r="103">
      <x:c r="F103" s="27"/>
    </x:row>
    <x:row r="104">
      <x:c r="F104" s="27"/>
    </x:row>
    <x:row r="105">
      <x:c r="F105" s="27"/>
    </x:row>
    <x:row r="106">
      <x:c r="F106" s="27"/>
    </x:row>
    <x:row r="107">
      <x:c r="F107" s="27"/>
    </x:row>
    <x:row r="108">
      <x:c r="F108" s="27"/>
    </x:row>
    <x:row r="109">
      <x:c r="F109" s="27"/>
    </x:row>
    <x:row r="110">
      <x:c r="F110" s="27"/>
    </x:row>
    <x:row r="111">
      <x:c r="F111" s="27"/>
    </x:row>
    <x:row r="112">
      <x:c r="F112" s="27"/>
    </x:row>
    <x:row r="113">
      <x:c r="F113" s="27"/>
    </x:row>
    <x:row r="114">
      <x:c r="F114" s="27"/>
    </x:row>
    <x:row r="115">
      <x:c r="F115" s="27"/>
    </x:row>
    <x:row r="116">
      <x:c r="F116" s="27"/>
    </x:row>
    <x:row r="117">
      <x:c r="F117" s="27"/>
    </x:row>
    <x:row r="118">
      <x:c r="F118" s="27"/>
    </x:row>
    <x:row r="119">
      <x:c r="F119" s="27"/>
    </x:row>
    <x:row r="120">
      <x:c r="F120" s="27"/>
    </x:row>
    <x:row r="121">
      <x:c r="F121" s="27"/>
    </x:row>
    <x:row r="122">
      <x:c r="F122" s="27"/>
    </x:row>
    <x:row r="123">
      <x:c r="F123" s="27"/>
    </x:row>
    <x:row r="124">
      <x:c r="F124" s="27"/>
    </x:row>
    <x:row r="125">
      <x:c r="F125" s="27"/>
    </x:row>
    <x:row r="126">
      <x:c r="F126" s="27"/>
    </x:row>
    <x:row r="127">
      <x:c r="F127" s="27"/>
    </x:row>
    <x:row r="128">
      <x:c r="F128" s="27"/>
    </x:row>
    <x:row r="129">
      <x:c r="F129" s="27"/>
    </x:row>
    <x:row r="130">
      <x:c r="F130" s="27"/>
    </x:row>
    <x:row r="131">
      <x:c r="F131" s="27"/>
    </x:row>
    <x:row r="132">
      <x:c r="F132" s="27"/>
    </x:row>
    <x:row r="133">
      <x:c r="F133" s="27"/>
    </x:row>
    <x:row r="134">
      <x:c r="F134" s="27"/>
    </x:row>
    <x:row r="135">
      <x:c r="F135" s="27"/>
    </x:row>
    <x:row r="136">
      <x:c r="F136" s="27"/>
    </x:row>
    <x:row r="137">
      <x:c r="F137" s="27"/>
    </x:row>
    <x:row r="138">
      <x:c r="F138" s="27"/>
    </x:row>
    <x:row r="139">
      <x:c r="F139" s="27"/>
    </x:row>
    <x:row r="140">
      <x:c r="F140" s="27"/>
    </x:row>
    <x:row r="141">
      <x:c r="F141" s="27"/>
    </x:row>
    <x:row r="142">
      <x:c r="F142" s="27"/>
    </x:row>
    <x:row r="143">
      <x:c r="F143" s="27"/>
    </x:row>
    <x:row r="144">
      <x:c r="F144" s="27"/>
    </x:row>
    <x:row r="145">
      <x:c r="F145" s="27"/>
    </x:row>
    <x:row r="146">
      <x:c r="F146" s="27"/>
    </x:row>
    <x:row r="147">
      <x:c r="F147" s="27"/>
    </x:row>
    <x:row r="148">
      <x:c r="F148" s="27"/>
    </x:row>
    <x:row r="149">
      <x:c r="F149" s="27"/>
    </x:row>
    <x:row r="150">
      <x:c r="F150" s="27"/>
    </x:row>
    <x:row r="151">
      <x:c r="F151" s="27"/>
    </x:row>
    <x:row r="152">
      <x:c r="F152" s="27"/>
    </x:row>
    <x:row r="153">
      <x:c r="F153" s="27"/>
    </x:row>
    <x:row r="154">
      <x:c r="F154" s="27"/>
    </x:row>
    <x:row r="155">
      <x:c r="F155" s="27"/>
    </x:row>
    <x:row r="156">
      <x:c r="F156" s="27"/>
    </x:row>
    <x:row r="157">
      <x:c r="F157" s="27"/>
    </x:row>
    <x:row r="158">
      <x:c r="F158" s="27"/>
    </x:row>
    <x:row r="159">
      <x:c r="F159" s="27"/>
    </x:row>
    <x:row r="160">
      <x:c r="F160" s="27"/>
    </x:row>
    <x:row r="161">
      <x:c r="F161" s="27"/>
    </x:row>
    <x:row r="162">
      <x:c r="F162" s="27"/>
    </x:row>
    <x:row r="163">
      <x:c r="F163" s="27"/>
    </x:row>
    <x:row r="164">
      <x:c r="F164" s="27"/>
    </x:row>
    <x:row r="165">
      <x:c r="F165" s="27"/>
    </x:row>
    <x:row r="166">
      <x:c r="F166" s="27"/>
    </x:row>
    <x:row r="167">
      <x:c r="F167" s="27"/>
    </x:row>
    <x:row r="168">
      <x:c r="F168" s="27"/>
    </x:row>
    <x:row r="169">
      <x:c r="F169" s="27"/>
    </x:row>
    <x:row r="170">
      <x:c r="F170" s="27"/>
    </x:row>
    <x:row r="171">
      <x:c r="F171" s="27"/>
    </x:row>
    <x:row r="172">
      <x:c r="F172" s="27"/>
    </x:row>
    <x:row r="173">
      <x:c r="F173" s="27"/>
    </x:row>
    <x:row r="174">
      <x:c r="F174" s="27"/>
    </x:row>
    <x:row r="175">
      <x:c r="F175" s="27"/>
    </x:row>
    <x:row r="176">
      <x:c r="F176" s="27"/>
    </x:row>
    <x:row r="177">
      <x:c r="F177" s="27"/>
    </x:row>
    <x:row r="178">
      <x:c r="F178" s="27"/>
    </x:row>
    <x:row r="179">
      <x:c r="F179" s="27"/>
    </x:row>
    <x:row r="180">
      <x:c r="F180" s="27"/>
    </x:row>
    <x:row r="181">
      <x:c r="F181" s="27"/>
    </x:row>
    <x:row r="182">
      <x:c r="F182" s="27"/>
    </x:row>
    <x:row r="183">
      <x:c r="F183" s="27"/>
    </x:row>
    <x:row r="184">
      <x:c r="F184" s="27"/>
    </x:row>
    <x:row r="185">
      <x:c r="F185" s="27"/>
    </x:row>
    <x:row r="186">
      <x:c r="F186" s="27"/>
    </x:row>
    <x:row r="187">
      <x:c r="F187" s="27"/>
    </x:row>
    <x:row r="188">
      <x:c r="F188" s="27"/>
    </x:row>
    <x:row r="189">
      <x:c r="F189" s="27"/>
    </x:row>
    <x:row r="190">
      <x:c r="F190" s="27"/>
    </x:row>
    <x:row r="191">
      <x:c r="F191" s="27"/>
    </x:row>
    <x:row r="192">
      <x:c r="F192" s="27"/>
    </x:row>
    <x:row r="193">
      <x:c r="F193" s="27"/>
    </x:row>
    <x:row r="194">
      <x:c r="F194" s="27"/>
    </x:row>
    <x:row r="195">
      <x:c r="F195" s="27"/>
    </x:row>
    <x:row r="196">
      <x:c r="F196" s="27"/>
    </x:row>
    <x:row r="197">
      <x:c r="F197" s="27"/>
    </x:row>
    <x:row r="198">
      <x:c r="F198" s="27"/>
    </x:row>
    <x:row r="199">
      <x:c r="F199" s="27"/>
    </x:row>
    <x:row r="200">
      <x:c r="F200" s="27"/>
    </x:row>
    <x:row r="201">
      <x:c r="F201" s="27"/>
    </x:row>
    <x:row r="202">
      <x:c r="F202" s="27"/>
    </x:row>
    <x:row r="203">
      <x:c r="F203" s="27"/>
    </x:row>
    <x:row r="204">
      <x:c r="F204" s="27"/>
    </x:row>
    <x:row r="205">
      <x:c r="F205" s="27"/>
    </x:row>
    <x:row r="206">
      <x:c r="F206" s="27"/>
    </x:row>
    <x:row r="207">
      <x:c r="F207" s="27"/>
    </x:row>
    <x:row r="208">
      <x:c r="F208" s="27"/>
    </x:row>
    <x:row r="209">
      <x:c r="F209" s="27"/>
    </x:row>
    <x:row r="210">
      <x:c r="F210" s="27"/>
    </x:row>
    <x:row r="211">
      <x:c r="F211" s="27"/>
    </x:row>
    <x:row r="212">
      <x:c r="F212" s="27"/>
    </x:row>
    <x:row r="213">
      <x:c r="F213" s="27"/>
    </x:row>
    <x:row r="214">
      <x:c r="F214" s="27"/>
    </x:row>
    <x:row r="215">
      <x:c r="F215" s="27"/>
    </x:row>
    <x:row r="216">
      <x:c r="F216" s="27"/>
    </x:row>
    <x:row r="217">
      <x:c r="F217" s="27"/>
    </x:row>
    <x:row r="218">
      <x:c r="F218" s="27"/>
    </x:row>
    <x:row r="219">
      <x:c r="F219" s="27"/>
    </x:row>
    <x:row r="220">
      <x:c r="F220" s="27"/>
    </x:row>
    <x:row r="221">
      <x:c r="F221" s="27"/>
    </x:row>
    <x:row r="222">
      <x:c r="F222" s="27"/>
    </x:row>
    <x:row r="223">
      <x:c r="F223" s="27"/>
    </x:row>
    <x:row r="224">
      <x:c r="F224" s="27"/>
    </x:row>
    <x:row r="225">
      <x:c r="F225" s="27"/>
    </x:row>
    <x:row r="226">
      <x:c r="F226" s="27"/>
    </x:row>
    <x:row r="227">
      <x:c r="F227" s="27"/>
    </x:row>
    <x:row r="228">
      <x:c r="F228" s="27"/>
    </x:row>
    <x:row r="229">
      <x:c r="F229" s="27"/>
    </x:row>
    <x:row r="230">
      <x:c r="F230" s="27"/>
    </x:row>
    <x:row r="231">
      <x:c r="F231" s="27"/>
    </x:row>
    <x:row r="232">
      <x:c r="F232" s="27"/>
    </x:row>
    <x:row r="233">
      <x:c r="F233" s="27"/>
    </x:row>
    <x:row r="234">
      <x:c r="F234" s="27"/>
    </x:row>
    <x:row r="235">
      <x:c r="F235" s="27"/>
    </x:row>
    <x:row r="236">
      <x:c r="F236" s="27"/>
    </x:row>
    <x:row r="237">
      <x:c r="F237" s="27"/>
    </x:row>
    <x:row r="238">
      <x:c r="F238" s="27"/>
    </x:row>
    <x:row r="239">
      <x:c r="F239" s="27"/>
    </x:row>
    <x:row r="240">
      <x:c r="F240" s="27"/>
    </x:row>
    <x:row r="241">
      <x:c r="F241" s="27"/>
    </x:row>
    <x:row r="242">
      <x:c r="F242" s="27"/>
    </x:row>
    <x:row r="243">
      <x:c r="F243" s="27"/>
    </x:row>
    <x:row r="244">
      <x:c r="F244" s="27"/>
    </x:row>
    <x:row r="245">
      <x:c r="F245" s="27"/>
    </x:row>
    <x:row r="246">
      <x:c r="F246" s="27"/>
    </x:row>
    <x:row r="247">
      <x:c r="F247" s="27"/>
    </x:row>
    <x:row r="248">
      <x:c r="F248" s="27"/>
    </x:row>
    <x:row r="249">
      <x:c r="F249" s="27"/>
    </x:row>
    <x:row r="250">
      <x:c r="F250" s="27"/>
    </x:row>
    <x:row r="251">
      <x:c r="F251" s="27"/>
    </x:row>
    <x:row r="252">
      <x:c r="F252" s="27"/>
    </x:row>
    <x:row r="253">
      <x:c r="F253" s="27"/>
    </x:row>
    <x:row r="254">
      <x:c r="F254" s="27"/>
    </x:row>
    <x:row r="255">
      <x:c r="F255" s="27"/>
    </x:row>
    <x:row r="256">
      <x:c r="F256" s="27"/>
    </x:row>
    <x:row r="257">
      <x:c r="F257" s="27"/>
    </x:row>
    <x:row r="258">
      <x:c r="F258" s="27"/>
    </x:row>
    <x:row r="259">
      <x:c r="F259" s="27"/>
    </x:row>
    <x:row r="260">
      <x:c r="F260" s="27"/>
    </x:row>
    <x:row r="261">
      <x:c r="F261" s="27"/>
    </x:row>
    <x:row r="262">
      <x:c r="F262" s="27"/>
    </x:row>
    <x:row r="263">
      <x:c r="F263" s="27"/>
    </x:row>
    <x:row r="264">
      <x:c r="F264" s="27"/>
    </x:row>
    <x:row r="265">
      <x:c r="F265" s="27"/>
    </x:row>
    <x:row r="266">
      <x:c r="F266" s="27"/>
    </x:row>
    <x:row r="267">
      <x:c r="F267" s="27"/>
    </x:row>
    <x:row r="268">
      <x:c r="F268" s="27"/>
    </x:row>
    <x:row r="269">
      <x:c r="F269" s="27"/>
    </x:row>
    <x:row r="270">
      <x:c r="F270" s="27"/>
    </x:row>
    <x:row r="271">
      <x:c r="F271" s="27"/>
    </x:row>
    <x:row r="272">
      <x:c r="F272" s="27"/>
    </x:row>
    <x:row r="273">
      <x:c r="F273" s="27"/>
    </x:row>
    <x:row r="274">
      <x:c r="F274" s="27"/>
    </x:row>
    <x:row r="275">
      <x:c r="F275" s="27"/>
    </x:row>
    <x:row r="276">
      <x:c r="F276" s="27"/>
    </x:row>
    <x:row r="277">
      <x:c r="F277" s="27"/>
    </x:row>
    <x:row r="278">
      <x:c r="F278" s="27"/>
    </x:row>
    <x:row r="279">
      <x:c r="F279" s="27"/>
    </x:row>
    <x:row r="280">
      <x:c r="F280" s="27"/>
    </x:row>
    <x:row r="281">
      <x:c r="F281" s="27"/>
    </x:row>
    <x:row r="282">
      <x:c r="F282" s="27"/>
    </x:row>
    <x:row r="283">
      <x:c r="F283" s="27"/>
    </x:row>
    <x:row r="284">
      <x:c r="F284" s="27"/>
    </x:row>
    <x:row r="285">
      <x:c r="F285" s="27"/>
    </x:row>
    <x:row r="286">
      <x:c r="F286" s="27"/>
    </x:row>
    <x:row r="287">
      <x:c r="F287" s="27"/>
    </x:row>
    <x:row r="288">
      <x:c r="F288" s="27"/>
    </x:row>
    <x:row r="289">
      <x:c r="F289" s="27"/>
    </x:row>
    <x:row r="290">
      <x:c r="F290" s="27"/>
    </x:row>
    <x:row r="291">
      <x:c r="F291" s="27"/>
    </x:row>
    <x:row r="292">
      <x:c r="F292" s="27"/>
    </x:row>
    <x:row r="293">
      <x:c r="F293" s="27"/>
    </x:row>
    <x:row r="294">
      <x:c r="F294" s="27"/>
    </x:row>
    <x:row r="295">
      <x:c r="F295" s="27"/>
    </x:row>
    <x:row r="296">
      <x:c r="F296" s="27"/>
    </x:row>
    <x:row r="297">
      <x:c r="F297" s="27"/>
    </x:row>
    <x:row r="298">
      <x:c r="F298" s="27"/>
    </x:row>
    <x:row r="299">
      <x:c r="F299" s="27"/>
    </x:row>
    <x:row r="300">
      <x:c r="F300" s="27"/>
    </x:row>
    <x:row r="301">
      <x:c r="F301" s="27"/>
    </x:row>
    <x:row r="302">
      <x:c r="F302" s="27"/>
    </x:row>
    <x:row r="303">
      <x:c r="F303" s="27"/>
    </x:row>
    <x:row r="304">
      <x:c r="F304" s="27"/>
    </x:row>
    <x:row r="305">
      <x:c r="F305" s="27"/>
    </x:row>
    <x:row r="306">
      <x:c r="F306" s="27"/>
    </x:row>
    <x:row r="307">
      <x:c r="F307" s="27"/>
    </x:row>
    <x:row r="308">
      <x:c r="F308" s="27"/>
    </x:row>
    <x:row r="309">
      <x:c r="F309" s="27"/>
    </x:row>
    <x:row r="310">
      <x:c r="F310" s="27"/>
    </x:row>
    <x:row r="311">
      <x:c r="F311" s="27"/>
    </x:row>
    <x:row r="312">
      <x:c r="F312" s="27"/>
    </x:row>
    <x:row r="313">
      <x:c r="F313" s="27"/>
    </x:row>
    <x:row r="314">
      <x:c r="F314" s="27"/>
    </x:row>
    <x:row r="315">
      <x:c r="F315" s="27"/>
    </x:row>
    <x:row r="316">
      <x:c r="F316" s="27"/>
    </x:row>
    <x:row r="317">
      <x:c r="F317" s="27"/>
    </x:row>
    <x:row r="318">
      <x:c r="F318" s="27"/>
    </x:row>
    <x:row r="319">
      <x:c r="F319" s="27"/>
    </x:row>
    <x:row r="320">
      <x:c r="F320" s="27"/>
    </x:row>
    <x:row r="321">
      <x:c r="F321" s="27"/>
    </x:row>
    <x:row r="322">
      <x:c r="F322" s="27"/>
    </x:row>
    <x:row r="323">
      <x:c r="F323" s="27"/>
    </x:row>
    <x:row r="324">
      <x:c r="F324" s="27"/>
    </x:row>
    <x:row r="325">
      <x:c r="F325" s="27"/>
    </x:row>
    <x:row r="326">
      <x:c r="F326" s="27"/>
    </x:row>
    <x:row r="327">
      <x:c r="F327" s="27"/>
    </x:row>
    <x:row r="328">
      <x:c r="F328" s="27"/>
    </x:row>
    <x:row r="329">
      <x:c r="F329" s="27"/>
    </x:row>
    <x:row r="330">
      <x:c r="F330" s="27"/>
    </x:row>
    <x:row r="331">
      <x:c r="F331" s="27"/>
    </x:row>
    <x:row r="332">
      <x:c r="F332" s="27"/>
    </x:row>
    <x:row r="333">
      <x:c r="F333" s="27"/>
    </x:row>
    <x:row r="334">
      <x:c r="F334" s="27"/>
    </x:row>
    <x:row r="335">
      <x:c r="F335" s="27"/>
    </x:row>
    <x:row r="336">
      <x:c r="F336" s="27"/>
    </x:row>
    <x:row r="337">
      <x:c r="F337" s="27"/>
    </x:row>
    <x:row r="338">
      <x:c r="F338" s="27"/>
    </x:row>
    <x:row r="339">
      <x:c r="F339" s="27"/>
    </x:row>
    <x:row r="340">
      <x:c r="F340" s="27"/>
    </x:row>
    <x:row r="341">
      <x:c r="F341" s="27"/>
    </x:row>
    <x:row r="342">
      <x:c r="F342" s="27"/>
    </x:row>
    <x:row r="343">
      <x:c r="F343" s="27"/>
    </x:row>
    <x:row r="344">
      <x:c r="F344" s="27"/>
    </x:row>
    <x:row r="345">
      <x:c r="F345" s="27"/>
    </x:row>
    <x:row r="346">
      <x:c r="F346" s="27"/>
    </x:row>
    <x:row r="347">
      <x:c r="F347" s="27"/>
    </x:row>
    <x:row r="348">
      <x:c r="F348" s="27"/>
    </x:row>
    <x:row r="349">
      <x:c r="F349" s="27"/>
    </x:row>
    <x:row r="350">
      <x:c r="F350" s="27"/>
    </x:row>
    <x:row r="351">
      <x:c r="F351" s="27"/>
    </x:row>
    <x:row r="352">
      <x:c r="F352" s="27"/>
    </x:row>
    <x:row r="353">
      <x:c r="F353" s="27"/>
    </x:row>
    <x:row r="354">
      <x:c r="F354" s="27"/>
    </x:row>
    <x:row r="355">
      <x:c r="F355" s="27"/>
    </x:row>
    <x:row r="356">
      <x:c r="F356" s="27"/>
    </x:row>
    <x:row r="357">
      <x:c r="F357" s="27"/>
    </x:row>
    <x:row r="358">
      <x:c r="F358" s="27"/>
    </x:row>
    <x:row r="359">
      <x:c r="F359" s="27"/>
    </x:row>
    <x:row r="360">
      <x:c r="F360" s="27"/>
    </x:row>
    <x:row r="361">
      <x:c r="F361" s="27"/>
    </x:row>
    <x:row r="362">
      <x:c r="F362" s="27"/>
    </x:row>
    <x:row r="363">
      <x:c r="F363" s="27"/>
    </x:row>
    <x:row r="364">
      <x:c r="F364" s="27"/>
    </x:row>
    <x:row r="365">
      <x:c r="F365" s="27"/>
    </x:row>
    <x:row r="366">
      <x:c r="F366" s="27"/>
    </x:row>
    <x:row r="367">
      <x:c r="F367" s="27"/>
    </x:row>
    <x:row r="368">
      <x:c r="F368" s="27"/>
    </x:row>
    <x:row r="369">
      <x:c r="F369" s="27"/>
    </x:row>
    <x:row r="370">
      <x:c r="F370" s="27"/>
    </x:row>
    <x:row r="371">
      <x:c r="F371" s="27"/>
    </x:row>
    <x:row r="372">
      <x:c r="F372" s="27"/>
    </x:row>
    <x:row r="373">
      <x:c r="F373" s="27"/>
    </x:row>
    <x:row r="374">
      <x:c r="F374" s="27"/>
    </x:row>
    <x:row r="375">
      <x:c r="F375" s="27"/>
    </x:row>
    <x:row r="376">
      <x:c r="F376" s="27"/>
    </x:row>
    <x:row r="377">
      <x:c r="F377" s="27"/>
    </x:row>
    <x:row r="378">
      <x:c r="F378" s="27"/>
    </x:row>
    <x:row r="379">
      <x:c r="F379" s="27"/>
    </x:row>
    <x:row r="380">
      <x:c r="F380" s="27"/>
    </x:row>
    <x:row r="381">
      <x:c r="F381" s="27"/>
    </x:row>
    <x:row r="382">
      <x:c r="F382" s="27"/>
    </x:row>
    <x:row r="383">
      <x:c r="F383" s="27"/>
    </x:row>
    <x:row r="384">
      <x:c r="F384" s="27"/>
    </x:row>
    <x:row r="385">
      <x:c r="F385" s="27"/>
    </x:row>
    <x:row r="386">
      <x:c r="F386" s="27"/>
    </x:row>
    <x:row r="387">
      <x:c r="F387" s="27"/>
    </x:row>
    <x:row r="388">
      <x:c r="F388" s="27"/>
    </x:row>
    <x:row r="389">
      <x:c r="F389" s="27"/>
    </x:row>
    <x:row r="390">
      <x:c r="F390" s="27"/>
    </x:row>
    <x:row r="391">
      <x:c r="F391" s="27"/>
    </x:row>
    <x:row r="392">
      <x:c r="F392" s="27"/>
    </x:row>
    <x:row r="393">
      <x:c r="F393" s="27"/>
    </x:row>
    <x:row r="394">
      <x:c r="F394" s="27"/>
    </x:row>
    <x:row r="395">
      <x:c r="F395" s="27"/>
    </x:row>
    <x:row r="396">
      <x:c r="F396" s="27"/>
    </x:row>
    <x:row r="397">
      <x:c r="F397" s="27"/>
    </x:row>
    <x:row r="398">
      <x:c r="F398" s="27"/>
    </x:row>
    <x:row r="399">
      <x:c r="F399" s="27"/>
    </x:row>
    <x:row r="400">
      <x:c r="F400" s="27"/>
    </x:row>
    <x:row r="401">
      <x:c r="F401" s="27"/>
    </x:row>
    <x:row r="402">
      <x:c r="F402" s="27"/>
    </x:row>
    <x:row r="403">
      <x:c r="F403" s="27"/>
    </x:row>
    <x:row r="404">
      <x:c r="F404" s="27"/>
    </x:row>
    <x:row r="405">
      <x:c r="F405" s="27"/>
    </x:row>
    <x:row r="406">
      <x:c r="F406" s="27"/>
    </x:row>
    <x:row r="407">
      <x:c r="F407" s="27"/>
    </x:row>
    <x:row r="408">
      <x:c r="F408" s="27"/>
    </x:row>
    <x:row r="409">
      <x:c r="F409" s="27"/>
    </x:row>
    <x:row r="410">
      <x:c r="F410" s="27"/>
    </x:row>
    <x:row r="411">
      <x:c r="F411" s="27"/>
    </x:row>
    <x:row r="412">
      <x:c r="F412" s="27"/>
    </x:row>
    <x:row r="413">
      <x:c r="F413" s="27"/>
    </x:row>
    <x:row r="414">
      <x:c r="F414" s="27"/>
    </x:row>
    <x:row r="415">
      <x:c r="F415" s="27"/>
    </x:row>
    <x:row r="416">
      <x:c r="F416" s="27"/>
    </x:row>
    <x:row r="417">
      <x:c r="F417" s="27"/>
    </x:row>
    <x:row r="418">
      <x:c r="F418" s="27"/>
    </x:row>
    <x:row r="419">
      <x:c r="F419" s="27"/>
    </x:row>
    <x:row r="420">
      <x:c r="F420" s="27"/>
    </x:row>
    <x:row r="421">
      <x:c r="F421" s="27"/>
    </x:row>
    <x:row r="422">
      <x:c r="F422" s="27"/>
    </x:row>
    <x:row r="423">
      <x:c r="F423" s="27"/>
    </x:row>
    <x:row r="424">
      <x:c r="F424" s="27"/>
    </x:row>
    <x:row r="425">
      <x:c r="F425" s="27"/>
    </x:row>
    <x:row r="426">
      <x:c r="F426" s="27"/>
    </x:row>
    <x:row r="427">
      <x:c r="F427" s="27"/>
    </x:row>
    <x:row r="428">
      <x:c r="F428" s="27"/>
    </x:row>
    <x:row r="429">
      <x:c r="F429" s="27"/>
    </x:row>
    <x:row r="430">
      <x:c r="F430" s="27"/>
    </x:row>
    <x:row r="431">
      <x:c r="F431" s="27"/>
    </x:row>
    <x:row r="432">
      <x:c r="F432" s="27"/>
    </x:row>
    <x:row r="433">
      <x:c r="F433" s="27"/>
    </x:row>
    <x:row r="434">
      <x:c r="F434" s="27"/>
    </x:row>
    <x:row r="435">
      <x:c r="F435" s="27"/>
    </x:row>
    <x:row r="436">
      <x:c r="F436" s="27"/>
    </x:row>
    <x:row r="437">
      <x:c r="F437" s="27"/>
    </x:row>
    <x:row r="438">
      <x:c r="F438" s="27"/>
    </x:row>
    <x:row r="439">
      <x:c r="F439" s="27"/>
    </x:row>
    <x:row r="440">
      <x:c r="F440" s="27"/>
    </x:row>
    <x:row r="441">
      <x:c r="F441" s="27"/>
    </x:row>
    <x:row r="442">
      <x:c r="F442" s="27"/>
    </x:row>
    <x:row r="443">
      <x:c r="F443" s="27"/>
    </x:row>
    <x:row r="444">
      <x:c r="F444" s="27"/>
    </x:row>
    <x:row r="445">
      <x:c r="F445" s="27"/>
    </x:row>
    <x:row r="446">
      <x:c r="F446" s="27"/>
    </x:row>
    <x:row r="447">
      <x:c r="F447" s="27"/>
    </x:row>
    <x:row r="448">
      <x:c r="F448" s="27"/>
    </x:row>
    <x:row r="449">
      <x:c r="F449" s="27"/>
    </x:row>
    <x:row r="450">
      <x:c r="F450" s="27"/>
    </x:row>
    <x:row r="451">
      <x:c r="F451" s="27"/>
    </x:row>
    <x:row r="452">
      <x:c r="F452" s="27"/>
    </x:row>
    <x:row r="453">
      <x:c r="F453" s="27"/>
    </x:row>
    <x:row r="454">
      <x:c r="F454" s="27"/>
    </x:row>
    <x:row r="455">
      <x:c r="F455" s="27"/>
    </x:row>
    <x:row r="456">
      <x:c r="F456" s="27"/>
    </x:row>
    <x:row r="457">
      <x:c r="F457" s="27"/>
    </x:row>
    <x:row r="458">
      <x:c r="F458" s="27"/>
    </x:row>
    <x:row r="459">
      <x:c r="F459" s="27"/>
    </x:row>
    <x:row r="460">
      <x:c r="F460" s="27"/>
    </x:row>
    <x:row r="461">
      <x:c r="F461" s="27"/>
    </x:row>
    <x:row r="462">
      <x:c r="F462" s="27"/>
    </x:row>
    <x:row r="463">
      <x:c r="F463" s="27"/>
    </x:row>
    <x:row r="464">
      <x:c r="F464" s="27"/>
    </x:row>
    <x:row r="465">
      <x:c r="F465" s="27"/>
    </x:row>
    <x:row r="466">
      <x:c r="F466" s="27"/>
    </x:row>
    <x:row r="467">
      <x:c r="F467" s="27"/>
    </x:row>
    <x:row r="468">
      <x:c r="F468" s="27"/>
    </x:row>
    <x:row r="469">
      <x:c r="F469" s="27"/>
    </x:row>
    <x:row r="470">
      <x:c r="F470" s="27"/>
    </x:row>
    <x:row r="471">
      <x:c r="F471" s="27"/>
    </x:row>
    <x:row r="472">
      <x:c r="F472" s="27"/>
    </x:row>
    <x:row r="473">
      <x:c r="F473" s="27"/>
    </x:row>
    <x:row r="474">
      <x:c r="F474" s="27"/>
    </x:row>
    <x:row r="475">
      <x:c r="F475" s="27"/>
    </x:row>
    <x:row r="476">
      <x:c r="F476" s="27"/>
    </x:row>
    <x:row r="477">
      <x:c r="F477" s="27"/>
    </x:row>
    <x:row r="478">
      <x:c r="F478" s="27"/>
    </x:row>
    <x:row r="479">
      <x:c r="F479" s="27"/>
    </x:row>
    <x:row r="480">
      <x:c r="F480" s="27"/>
    </x:row>
    <x:row r="481">
      <x:c r="F481" s="27"/>
    </x:row>
    <x:row r="482">
      <x:c r="F482" s="27"/>
    </x:row>
    <x:row r="483">
      <x:c r="F483" s="27"/>
    </x:row>
    <x:row r="484">
      <x:c r="F484" s="27"/>
    </x:row>
    <x:row r="485">
      <x:c r="F485" s="27"/>
    </x:row>
    <x:row r="486">
      <x:c r="F486" s="27"/>
    </x:row>
    <x:row r="487">
      <x:c r="F487" s="27"/>
    </x:row>
    <x:row r="488">
      <x:c r="F488" s="27"/>
    </x:row>
    <x:row r="489">
      <x:c r="F489" s="27"/>
    </x:row>
    <x:row r="490">
      <x:c r="F490" s="27"/>
    </x:row>
    <x:row r="491">
      <x:c r="F491" s="27"/>
    </x:row>
    <x:row r="492">
      <x:c r="F492" s="27"/>
    </x:row>
    <x:row r="493">
      <x:c r="F493" s="27"/>
    </x:row>
    <x:row r="494">
      <x:c r="F494" s="27"/>
    </x:row>
    <x:row r="495">
      <x:c r="F495" s="27"/>
    </x:row>
    <x:row r="496">
      <x:c r="F496" s="27"/>
    </x:row>
    <x:row r="497">
      <x:c r="F497" s="27"/>
    </x:row>
    <x:row r="498">
      <x:c r="F498" s="27"/>
    </x:row>
    <x:row r="499">
      <x:c r="F499" s="27"/>
    </x:row>
    <x:row r="500">
      <x:c r="F500" s="27"/>
    </x:row>
    <x:row r="501">
      <x:c r="F501" s="27"/>
    </x:row>
    <x:row r="502">
      <x:c r="F502" s="27"/>
    </x:row>
    <x:row r="503">
      <x:c r="F503" s="27"/>
    </x:row>
    <x:row r="504">
      <x:c r="F504" s="27"/>
    </x:row>
    <x:row r="505">
      <x:c r="F505" s="27"/>
    </x:row>
    <x:row r="506">
      <x:c r="F506" s="27"/>
    </x:row>
    <x:row r="507">
      <x:c r="F507" s="27"/>
    </x:row>
    <x:row r="508">
      <x:c r="F508" s="27"/>
    </x:row>
    <x:row r="509">
      <x:c r="F509" s="27"/>
    </x:row>
    <x:row r="510">
      <x:c r="F510" s="27"/>
    </x:row>
    <x:row r="511">
      <x:c r="F511" s="27"/>
    </x:row>
    <x:row r="512">
      <x:c r="F512" s="27"/>
    </x:row>
    <x:row r="513">
      <x:c r="F513" s="27"/>
    </x:row>
    <x:row r="514">
      <x:c r="F514" s="27"/>
    </x:row>
    <x:row r="515">
      <x:c r="F515" s="27"/>
    </x:row>
    <x:row r="516">
      <x:c r="F516" s="27"/>
    </x:row>
    <x:row r="517">
      <x:c r="F517" s="27"/>
    </x:row>
    <x:row r="518">
      <x:c r="F518" s="27"/>
    </x:row>
    <x:row r="519">
      <x:c r="F519" s="27"/>
    </x:row>
    <x:row r="520">
      <x:c r="F520" s="27"/>
    </x:row>
    <x:row r="521">
      <x:c r="F521" s="27"/>
    </x:row>
    <x:row r="522">
      <x:c r="F522" s="27"/>
    </x:row>
    <x:row r="523">
      <x:c r="F523" s="27"/>
    </x:row>
    <x:row r="524">
      <x:c r="F524" s="27"/>
    </x:row>
    <x:row r="525">
      <x:c r="F525" s="27"/>
    </x:row>
    <x:row r="526">
      <x:c r="F526" s="27"/>
    </x:row>
    <x:row r="527">
      <x:c r="F527" s="27"/>
    </x:row>
    <x:row r="528">
      <x:c r="F528" s="27"/>
    </x:row>
    <x:row r="529">
      <x:c r="F529" s="27"/>
    </x:row>
    <x:row r="530">
      <x:c r="F530" s="27"/>
    </x:row>
    <x:row r="531">
      <x:c r="F531" s="27"/>
    </x:row>
    <x:row r="532">
      <x:c r="F532" s="27"/>
    </x:row>
    <x:row r="533">
      <x:c r="F533" s="27"/>
    </x:row>
    <x:row r="534">
      <x:c r="F534" s="27"/>
    </x:row>
    <x:row r="535">
      <x:c r="F535" s="27"/>
    </x:row>
    <x:row r="536">
      <x:c r="F536" s="27"/>
    </x:row>
    <x:row r="537">
      <x:c r="F537" s="27"/>
    </x:row>
    <x:row r="538">
      <x:c r="F538" s="27"/>
    </x:row>
    <x:row r="539">
      <x:c r="F539" s="27"/>
    </x:row>
    <x:row r="540">
      <x:c r="F540" s="27"/>
    </x:row>
    <x:row r="541">
      <x:c r="F541" s="27"/>
    </x:row>
    <x:row r="542">
      <x:c r="F542" s="27"/>
    </x:row>
    <x:row r="543">
      <x:c r="F543" s="27"/>
    </x:row>
    <x:row r="544">
      <x:c r="F544" s="27"/>
    </x:row>
    <x:row r="545">
      <x:c r="F545" s="27"/>
    </x:row>
    <x:row r="546">
      <x:c r="F546" s="27"/>
    </x:row>
    <x:row r="547">
      <x:c r="F547" s="27"/>
    </x:row>
    <x:row r="548">
      <x:c r="F548" s="27"/>
    </x:row>
    <x:row r="549">
      <x:c r="F549" s="27"/>
    </x:row>
    <x:row r="550">
      <x:c r="F550" s="27"/>
    </x:row>
    <x:row r="551">
      <x:c r="F551" s="27"/>
    </x:row>
    <x:row r="552">
      <x:c r="F552" s="27"/>
    </x:row>
    <x:row r="553">
      <x:c r="F553" s="27"/>
    </x:row>
    <x:row r="554">
      <x:c r="F554" s="27"/>
    </x:row>
    <x:row r="555">
      <x:c r="F555" s="27"/>
    </x:row>
    <x:row r="556">
      <x:c r="F556" s="27"/>
    </x:row>
    <x:row r="557">
      <x:c r="F557" s="27"/>
    </x:row>
    <x:row r="558">
      <x:c r="F558" s="27"/>
    </x:row>
    <x:row r="559">
      <x:c r="F559" s="27"/>
    </x:row>
    <x:row r="560">
      <x:c r="F560" s="27"/>
    </x:row>
    <x:row r="561">
      <x:c r="F561" s="27"/>
    </x:row>
    <x:row r="562">
      <x:c r="F562" s="27"/>
    </x:row>
    <x:row r="563">
      <x:c r="F563" s="27"/>
    </x:row>
    <x:row r="564">
      <x:c r="F564" s="27"/>
    </x:row>
    <x:row r="565">
      <x:c r="F565" s="27"/>
    </x:row>
    <x:row r="566">
      <x:c r="F566" s="27"/>
    </x:row>
    <x:row r="567">
      <x:c r="F567" s="27"/>
    </x:row>
    <x:row r="568">
      <x:c r="F568" s="27"/>
    </x:row>
    <x:row r="569">
      <x:c r="F569" s="27"/>
    </x:row>
    <x:row r="570">
      <x:c r="F570" s="27"/>
    </x:row>
    <x:row r="571">
      <x:c r="F571" s="27"/>
    </x:row>
    <x:row r="572">
      <x:c r="F572" s="27"/>
    </x:row>
    <x:row r="573">
      <x:c r="F573" s="27"/>
    </x:row>
    <x:row r="574">
      <x:c r="F574" s="27"/>
    </x:row>
    <x:row r="575">
      <x:c r="F575" s="27"/>
    </x:row>
    <x:row r="576">
      <x:c r="F576" s="27"/>
    </x:row>
    <x:row r="577">
      <x:c r="F577" s="27"/>
    </x:row>
    <x:row r="578">
      <x:c r="F578" s="27"/>
    </x:row>
    <x:row r="579">
      <x:c r="F579" s="27"/>
    </x:row>
    <x:row r="580">
      <x:c r="F580" s="27"/>
    </x:row>
    <x:row r="581">
      <x:c r="F581" s="27"/>
    </x:row>
    <x:row r="582">
      <x:c r="F582" s="27"/>
    </x:row>
    <x:row r="583">
      <x:c r="F583" s="27"/>
    </x:row>
    <x:row r="584">
      <x:c r="F584" s="27"/>
    </x:row>
    <x:row r="585">
      <x:c r="F585" s="27"/>
    </x:row>
    <x:row r="586">
      <x:c r="F586" s="27"/>
    </x:row>
    <x:row r="587">
      <x:c r="F587" s="27"/>
    </x:row>
    <x:row r="588">
      <x:c r="F588" s="27"/>
    </x:row>
    <x:row r="589">
      <x:c r="F589" s="27"/>
    </x:row>
    <x:row r="590">
      <x:c r="F590" s="27"/>
    </x:row>
    <x:row r="591">
      <x:c r="F591" s="27"/>
    </x:row>
    <x:row r="592">
      <x:c r="F592" s="27"/>
    </x:row>
    <x:row r="593">
      <x:c r="F593" s="27"/>
    </x:row>
    <x:row r="594">
      <x:c r="F594" s="27"/>
    </x:row>
    <x:row r="595">
      <x:c r="F595" s="27"/>
    </x:row>
    <x:row r="596">
      <x:c r="F596" s="27"/>
    </x:row>
    <x:row r="597">
      <x:c r="F597" s="27"/>
    </x:row>
    <x:row r="598">
      <x:c r="F598" s="27"/>
    </x:row>
    <x:row r="599">
      <x:c r="F599" s="27"/>
    </x:row>
    <x:row r="600">
      <x:c r="F600" s="27"/>
    </x:row>
    <x:row r="601">
      <x:c r="F601" s="27"/>
    </x:row>
    <x:row r="602">
      <x:c r="F602" s="27"/>
    </x:row>
    <x:row r="603">
      <x:c r="F603" s="27"/>
    </x:row>
    <x:row r="604">
      <x:c r="F604" s="27"/>
    </x:row>
    <x:row r="605">
      <x:c r="F605" s="27"/>
    </x:row>
    <x:row r="606">
      <x:c r="F606" s="27"/>
    </x:row>
    <x:row r="607">
      <x:c r="F607" s="27"/>
    </x:row>
    <x:row r="608">
      <x:c r="F608" s="27"/>
    </x:row>
    <x:row r="609">
      <x:c r="F609" s="27"/>
    </x:row>
    <x:row r="610">
      <x:c r="F610" s="27"/>
    </x:row>
    <x:row r="611">
      <x:c r="F611" s="27"/>
    </x:row>
    <x:row r="612">
      <x:c r="F612" s="27"/>
    </x:row>
    <x:row r="613">
      <x:c r="F613" s="27"/>
    </x:row>
    <x:row r="614">
      <x:c r="F614" s="27"/>
    </x:row>
    <x:row r="615">
      <x:c r="F615" s="27"/>
    </x:row>
    <x:row r="616">
      <x:c r="F616" s="27"/>
    </x:row>
    <x:row r="617">
      <x:c r="F617" s="27"/>
    </x:row>
    <x:row r="618">
      <x:c r="F618" s="27"/>
    </x:row>
    <x:row r="619">
      <x:c r="F619" s="27"/>
    </x:row>
    <x:row r="620">
      <x:c r="F620" s="27"/>
    </x:row>
    <x:row r="621">
      <x:c r="F621" s="27"/>
    </x:row>
    <x:row r="622">
      <x:c r="F622" s="27"/>
    </x:row>
    <x:row r="623">
      <x:c r="F623" s="27"/>
    </x:row>
    <x:row r="624">
      <x:c r="F624" s="27"/>
    </x:row>
    <x:row r="625">
      <x:c r="F625" s="27"/>
    </x:row>
    <x:row r="626">
      <x:c r="F626" s="27"/>
    </x:row>
    <x:row r="627">
      <x:c r="F627" s="27"/>
    </x:row>
    <x:row r="628">
      <x:c r="F628" s="27"/>
    </x:row>
    <x:row r="629">
      <x:c r="F629" s="27"/>
    </x:row>
    <x:row r="630">
      <x:c r="F630" s="27"/>
    </x:row>
    <x:row r="631">
      <x:c r="F631" s="27"/>
    </x:row>
    <x:row r="632">
      <x:c r="F632" s="27"/>
    </x:row>
    <x:row r="633">
      <x:c r="F633" s="27"/>
    </x:row>
    <x:row r="634">
      <x:c r="F634" s="27"/>
    </x:row>
    <x:row r="635">
      <x:c r="F635" s="27"/>
    </x:row>
    <x:row r="636">
      <x:c r="F636" s="27"/>
    </x:row>
    <x:row r="637">
      <x:c r="F637" s="27"/>
    </x:row>
    <x:row r="638">
      <x:c r="F638" s="27"/>
    </x:row>
    <x:row r="639">
      <x:c r="F639" s="27"/>
    </x:row>
    <x:row r="640">
      <x:c r="F640" s="27"/>
    </x:row>
    <x:row r="641">
      <x:c r="F641" s="27"/>
    </x:row>
    <x:row r="642">
      <x:c r="F642" s="27"/>
    </x:row>
    <x:row r="643">
      <x:c r="F643" s="27"/>
    </x:row>
    <x:row r="644">
      <x:c r="F644" s="27"/>
    </x:row>
    <x:row r="645">
      <x:c r="F645" s="27"/>
    </x:row>
    <x:row r="646">
      <x:c r="F646" s="27"/>
    </x:row>
    <x:row r="647">
      <x:c r="F647" s="27"/>
    </x:row>
    <x:row r="648">
      <x:c r="F648" s="27"/>
    </x:row>
    <x:row r="649">
      <x:c r="F649" s="27"/>
    </x:row>
    <x:row r="650">
      <x:c r="F650" s="27"/>
    </x:row>
    <x:row r="651">
      <x:c r="F651" s="27"/>
    </x:row>
    <x:row r="652">
      <x:c r="F652" s="27"/>
    </x:row>
    <x:row r="653">
      <x:c r="F653" s="27"/>
    </x:row>
    <x:row r="654">
      <x:c r="F654" s="27"/>
    </x:row>
    <x:row r="655">
      <x:c r="F655" s="27"/>
    </x:row>
    <x:row r="656">
      <x:c r="F656" s="27"/>
    </x:row>
    <x:row r="657">
      <x:c r="F657" s="27"/>
    </x:row>
    <x:row r="658">
      <x:c r="F658" s="27"/>
    </x:row>
    <x:row r="659">
      <x:c r="F659" s="27"/>
    </x:row>
    <x:row r="660">
      <x:c r="F660" s="27"/>
    </x:row>
    <x:row r="661">
      <x:c r="F661" s="27"/>
    </x:row>
    <x:row r="662">
      <x:c r="F662" s="27"/>
    </x:row>
    <x:row r="663">
      <x:c r="F663" s="27"/>
    </x:row>
    <x:row r="664">
      <x:c r="F664" s="27"/>
    </x:row>
    <x:row r="665">
      <x:c r="F665" s="27"/>
    </x:row>
    <x:row r="666">
      <x:c r="F666" s="27"/>
    </x:row>
    <x:row r="667">
      <x:c r="F667" s="27"/>
    </x:row>
    <x:row r="668">
      <x:c r="F668" s="27"/>
    </x:row>
    <x:row r="669">
      <x:c r="F669" s="27"/>
    </x:row>
    <x:row r="670">
      <x:c r="F670" s="27"/>
    </x:row>
    <x:row r="671">
      <x:c r="F671" s="27"/>
    </x:row>
    <x:row r="672">
      <x:c r="F672" s="27"/>
    </x:row>
    <x:row r="673">
      <x:c r="F673" s="27"/>
    </x:row>
    <x:row r="674">
      <x:c r="F674" s="27"/>
    </x:row>
    <x:row r="675">
      <x:c r="F675" s="27"/>
    </x:row>
    <x:row r="676">
      <x:c r="F676" s="27"/>
    </x:row>
    <x:row r="677">
      <x:c r="F677" s="27"/>
    </x:row>
    <x:row r="678">
      <x:c r="F678" s="27"/>
    </x:row>
    <x:row r="679">
      <x:c r="F679" s="27"/>
    </x:row>
    <x:row r="680">
      <x:c r="F680" s="27"/>
    </x:row>
    <x:row r="681">
      <x:c r="F681" s="27"/>
    </x:row>
    <x:row r="682">
      <x:c r="F682" s="27"/>
    </x:row>
    <x:row r="683">
      <x:c r="F683" s="27"/>
    </x:row>
    <x:row r="684">
      <x:c r="F684" s="27"/>
    </x:row>
    <x:row r="685">
      <x:c r="F685" s="27"/>
    </x:row>
    <x:row r="686">
      <x:c r="F686" s="27"/>
    </x:row>
    <x:row r="687">
      <x:c r="F687" s="27"/>
    </x:row>
    <x:row r="688">
      <x:c r="F688" s="27"/>
    </x:row>
    <x:row r="689">
      <x:c r="F689" s="27"/>
    </x:row>
    <x:row r="690">
      <x:c r="F690" s="27"/>
    </x:row>
    <x:row r="691">
      <x:c r="F691" s="27"/>
    </x:row>
    <x:row r="692">
      <x:c r="F692" s="27"/>
    </x:row>
    <x:row r="693">
      <x:c r="F693" s="27"/>
    </x:row>
    <x:row r="694">
      <x:c r="F694" s="27"/>
    </x:row>
    <x:row r="695">
      <x:c r="F695" s="27"/>
    </x:row>
    <x:row r="696">
      <x:c r="F696" s="27"/>
    </x:row>
    <x:row r="697">
      <x:c r="F697" s="27"/>
    </x:row>
    <x:row r="698">
      <x:c r="F698" s="27"/>
    </x:row>
    <x:row r="699">
      <x:c r="F699" s="27"/>
    </x:row>
    <x:row r="700">
      <x:c r="F700" s="27"/>
    </x:row>
    <x:row r="701">
      <x:c r="F701" s="27"/>
    </x:row>
    <x:row r="702">
      <x:c r="F702" s="27"/>
    </x:row>
    <x:row r="703">
      <x:c r="F703" s="27"/>
    </x:row>
    <x:row r="704">
      <x:c r="F704" s="27"/>
    </x:row>
    <x:row r="705">
      <x:c r="F705" s="27"/>
    </x:row>
    <x:row r="706">
      <x:c r="F706" s="27"/>
    </x:row>
    <x:row r="707">
      <x:c r="F707" s="27"/>
    </x:row>
    <x:row r="708">
      <x:c r="F708" s="27"/>
    </x:row>
    <x:row r="709">
      <x:c r="F709" s="27"/>
    </x:row>
    <x:row r="710">
      <x:c r="F710" s="27"/>
    </x:row>
    <x:row r="711">
      <x:c r="F711" s="27"/>
    </x:row>
    <x:row r="712">
      <x:c r="F712" s="27"/>
    </x:row>
    <x:row r="713">
      <x:c r="F713" s="27"/>
    </x:row>
    <x:row r="714">
      <x:c r="F714" s="27"/>
    </x:row>
    <x:row r="715">
      <x:c r="F715" s="27"/>
    </x:row>
    <x:row r="716">
      <x:c r="F716" s="27"/>
    </x:row>
    <x:row r="717">
      <x:c r="F717" s="27"/>
    </x:row>
    <x:row r="718">
      <x:c r="F718" s="27"/>
    </x:row>
    <x:row r="719">
      <x:c r="F719" s="27"/>
    </x:row>
    <x:row r="720">
      <x:c r="F720" s="27"/>
    </x:row>
    <x:row r="721">
      <x:c r="F721" s="27"/>
    </x:row>
    <x:row r="722">
      <x:c r="F722" s="27"/>
    </x:row>
    <x:row r="723">
      <x:c r="F723" s="27"/>
    </x:row>
    <x:row r="724">
      <x:c r="F724" s="27"/>
    </x:row>
    <x:row r="725">
      <x:c r="F725" s="27"/>
    </x:row>
    <x:row r="726">
      <x:c r="F726" s="27"/>
    </x:row>
    <x:row r="727">
      <x:c r="F727" s="27"/>
    </x:row>
    <x:row r="728">
      <x:c r="F728" s="27"/>
    </x:row>
    <x:row r="729">
      <x:c r="F729" s="27"/>
    </x:row>
    <x:row r="730">
      <x:c r="F730" s="27"/>
    </x:row>
    <x:row r="731">
      <x:c r="F731" s="27"/>
    </x:row>
    <x:row r="732">
      <x:c r="F732" s="27"/>
    </x:row>
    <x:row r="733">
      <x:c r="F733" s="27"/>
    </x:row>
    <x:row r="734">
      <x:c r="F734" s="27"/>
    </x:row>
    <x:row r="735">
      <x:c r="F735" s="27"/>
    </x:row>
    <x:row r="736">
      <x:c r="F736" s="27"/>
    </x:row>
    <x:row r="737">
      <x:c r="F737" s="27"/>
    </x:row>
    <x:row r="738">
      <x:c r="F738" s="27"/>
    </x:row>
    <x:row r="739">
      <x:c r="F739" s="27"/>
    </x:row>
    <x:row r="740">
      <x:c r="F740" s="27"/>
    </x:row>
    <x:row r="741">
      <x:c r="F741" s="27"/>
    </x:row>
    <x:row r="742">
      <x:c r="F742" s="27"/>
    </x:row>
    <x:row r="743">
      <x:c r="F743" s="27"/>
    </x:row>
    <x:row r="744">
      <x:c r="F744" s="27"/>
    </x:row>
    <x:row r="745">
      <x:c r="F745" s="27"/>
    </x:row>
    <x:row r="746">
      <x:c r="F746" s="27"/>
    </x:row>
    <x:row r="747">
      <x:c r="F747" s="27"/>
    </x:row>
    <x:row r="748">
      <x:c r="F748" s="27"/>
    </x:row>
    <x:row r="749">
      <x:c r="F749" s="27"/>
    </x:row>
    <x:row r="750">
      <x:c r="F750" s="27"/>
    </x:row>
    <x:row r="751">
      <x:c r="F751" s="27"/>
    </x:row>
    <x:row r="752">
      <x:c r="F752" s="27"/>
    </x:row>
    <x:row r="753">
      <x:c r="F753" s="27"/>
    </x:row>
    <x:row r="754">
      <x:c r="F754" s="27"/>
    </x:row>
    <x:row r="755">
      <x:c r="F755" s="27"/>
    </x:row>
    <x:row r="756">
      <x:c r="F756" s="27"/>
    </x:row>
    <x:row r="757">
      <x:c r="F757" s="27"/>
    </x:row>
    <x:row r="758">
      <x:c r="F758" s="27"/>
    </x:row>
    <x:row r="759">
      <x:c r="F759" s="27"/>
    </x:row>
    <x:row r="760">
      <x:c r="F760" s="27"/>
    </x:row>
    <x:row r="761">
      <x:c r="F761" s="27"/>
    </x:row>
    <x:row r="762">
      <x:c r="F762" s="27"/>
    </x:row>
    <x:row r="763">
      <x:c r="F763" s="27"/>
    </x:row>
    <x:row r="764">
      <x:c r="F764" s="27"/>
    </x:row>
    <x:row r="765">
      <x:c r="F765" s="27"/>
    </x:row>
    <x:row r="766">
      <x:c r="F766" s="27"/>
    </x:row>
    <x:row r="767">
      <x:c r="F767" s="27"/>
    </x:row>
    <x:row r="768">
      <x:c r="F768" s="27"/>
    </x:row>
    <x:row r="769">
      <x:c r="F769" s="27"/>
    </x:row>
    <x:row r="770">
      <x:c r="F770" s="27"/>
    </x:row>
    <x:row r="771">
      <x:c r="F771" s="27"/>
    </x:row>
    <x:row r="772">
      <x:c r="F772" s="27"/>
    </x:row>
    <x:row r="773">
      <x:c r="F773" s="27"/>
    </x:row>
    <x:row r="774">
      <x:c r="F774" s="27"/>
    </x:row>
    <x:row r="775">
      <x:c r="F775" s="27"/>
    </x:row>
    <x:row r="776">
      <x:c r="F776" s="27"/>
    </x:row>
    <x:row r="777">
      <x:c r="F777" s="27"/>
    </x:row>
    <x:row r="778">
      <x:c r="F778" s="27"/>
    </x:row>
    <x:row r="779">
      <x:c r="F779" s="27"/>
    </x:row>
    <x:row r="780">
      <x:c r="F780" s="27"/>
    </x:row>
    <x:row r="781">
      <x:c r="F781" s="27"/>
    </x:row>
    <x:row r="782">
      <x:c r="F782" s="27"/>
    </x:row>
    <x:row r="783">
      <x:c r="F783" s="27"/>
    </x:row>
    <x:row r="784">
      <x:c r="F784" s="27"/>
    </x:row>
    <x:row r="785">
      <x:c r="F785" s="27"/>
    </x:row>
    <x:row r="786">
      <x:c r="F786" s="27"/>
    </x:row>
    <x:row r="787">
      <x:c r="F787" s="27"/>
    </x:row>
    <x:row r="788">
      <x:c r="F788" s="27"/>
    </x:row>
    <x:row r="789">
      <x:c r="F789" s="27"/>
    </x:row>
    <x:row r="790">
      <x:c r="F790" s="27"/>
    </x:row>
    <x:row r="791">
      <x:c r="F791" s="27"/>
    </x:row>
    <x:row r="792">
      <x:c r="F792" s="27"/>
    </x:row>
    <x:row r="793">
      <x:c r="F793" s="27"/>
    </x:row>
    <x:row r="794">
      <x:c r="F794" s="27"/>
    </x:row>
    <x:row r="795">
      <x:c r="F795" s="27"/>
    </x:row>
    <x:row r="796">
      <x:c r="F796" s="27"/>
    </x:row>
    <x:row r="797">
      <x:c r="F797" s="27"/>
    </x:row>
    <x:row r="798">
      <x:c r="F798" s="27"/>
    </x:row>
    <x:row r="799">
      <x:c r="F799" s="27"/>
    </x:row>
    <x:row r="800">
      <x:c r="F800" s="27"/>
    </x:row>
    <x:row r="801">
      <x:c r="F801" s="27"/>
    </x:row>
    <x:row r="802">
      <x:c r="F802" s="27"/>
    </x:row>
    <x:row r="803">
      <x:c r="F803" s="27"/>
    </x:row>
    <x:row r="804">
      <x:c r="F804" s="27"/>
    </x:row>
    <x:row r="805">
      <x:c r="F805" s="27"/>
    </x:row>
    <x:row r="806">
      <x:c r="F806" s="27"/>
    </x:row>
    <x:row r="807">
      <x:c r="F807" s="27"/>
    </x:row>
    <x:row r="808">
      <x:c r="F808" s="27"/>
    </x:row>
    <x:row r="809">
      <x:c r="F809" s="27"/>
    </x:row>
    <x:row r="810">
      <x:c r="F810" s="27"/>
    </x:row>
    <x:row r="811">
      <x:c r="F811" s="27"/>
    </x:row>
    <x:row r="812">
      <x:c r="F812" s="27"/>
    </x:row>
    <x:row r="813">
      <x:c r="F813" s="27"/>
    </x:row>
    <x:row r="814">
      <x:c r="F814" s="27"/>
    </x:row>
    <x:row r="815">
      <x:c r="F815" s="27"/>
    </x:row>
    <x:row r="816">
      <x:c r="F816" s="27"/>
    </x:row>
    <x:row r="817">
      <x:c r="F817" s="27"/>
    </x:row>
    <x:row r="818">
      <x:c r="F818" s="27"/>
    </x:row>
    <x:row r="819">
      <x:c r="F819" s="27"/>
    </x:row>
    <x:row r="820">
      <x:c r="F820" s="27"/>
    </x:row>
    <x:row r="821">
      <x:c r="F821" s="27"/>
    </x:row>
    <x:row r="822">
      <x:c r="F822" s="27"/>
    </x:row>
    <x:row r="823">
      <x:c r="F823" s="27"/>
    </x:row>
    <x:row r="824">
      <x:c r="F824" s="27"/>
    </x:row>
    <x:row r="825">
      <x:c r="F825" s="27"/>
    </x:row>
    <x:row r="826">
      <x:c r="F826" s="27"/>
    </x:row>
    <x:row r="827">
      <x:c r="F827" s="27"/>
    </x:row>
    <x:row r="828">
      <x:c r="F828" s="27"/>
    </x:row>
    <x:row r="829">
      <x:c r="F829" s="27"/>
    </x:row>
    <x:row r="830">
      <x:c r="F830" s="27"/>
    </x:row>
    <x:row r="831">
      <x:c r="F831" s="27"/>
    </x:row>
    <x:row r="832">
      <x:c r="F832" s="27"/>
    </x:row>
    <x:row r="833">
      <x:c r="F833" s="27"/>
    </x:row>
    <x:row r="834">
      <x:c r="F834" s="27"/>
    </x:row>
    <x:row r="835">
      <x:c r="F835" s="27"/>
    </x:row>
    <x:row r="836">
      <x:c r="F836" s="27"/>
    </x:row>
    <x:row r="837">
      <x:c r="F837" s="27"/>
    </x:row>
    <x:row r="838">
      <x:c r="F838" s="27"/>
    </x:row>
    <x:row r="839">
      <x:c r="F839" s="27"/>
    </x:row>
    <x:row r="840">
      <x:c r="F840" s="27"/>
    </x:row>
    <x:row r="841">
      <x:c r="F841" s="27"/>
    </x:row>
    <x:row r="842">
      <x:c r="F842" s="27"/>
    </x:row>
    <x:row r="843">
      <x:c r="F843" s="27"/>
    </x:row>
    <x:row r="844">
      <x:c r="F844" s="27"/>
    </x:row>
    <x:row r="845">
      <x:c r="F845" s="27"/>
    </x:row>
    <x:row r="846">
      <x:c r="F846" s="27"/>
    </x:row>
    <x:row r="847">
      <x:c r="F847" s="27"/>
    </x:row>
    <x:row r="848">
      <x:c r="F848" s="27"/>
    </x:row>
    <x:row r="849">
      <x:c r="F849" s="27"/>
    </x:row>
    <x:row r="850">
      <x:c r="F850" s="27"/>
    </x:row>
    <x:row r="851">
      <x:c r="F851" s="27"/>
    </x:row>
    <x:row r="852">
      <x:c r="F852" s="27"/>
    </x:row>
    <x:row r="853">
      <x:c r="F853" s="27"/>
    </x:row>
    <x:row r="854">
      <x:c r="F854" s="27"/>
    </x:row>
    <x:row r="855">
      <x:c r="F855" s="27"/>
    </x:row>
    <x:row r="856">
      <x:c r="F856" s="27"/>
    </x:row>
    <x:row r="857">
      <x:c r="F857" s="27"/>
    </x:row>
    <x:row r="858">
      <x:c r="F858" s="27"/>
    </x:row>
    <x:row r="859">
      <x:c r="F859" s="27"/>
    </x:row>
    <x:row r="860">
      <x:c r="F860" s="27"/>
    </x:row>
    <x:row r="861">
      <x:c r="F861" s="27"/>
    </x:row>
    <x:row r="862">
      <x:c r="F862" s="27"/>
    </x:row>
    <x:row r="863">
      <x:c r="F863" s="27"/>
    </x:row>
    <x:row r="864">
      <x:c r="F864" s="27"/>
    </x:row>
    <x:row r="865">
      <x:c r="F865" s="27"/>
    </x:row>
    <x:row r="866">
      <x:c r="F866" s="27"/>
    </x:row>
    <x:row r="867">
      <x:c r="F867" s="27"/>
    </x:row>
    <x:row r="868">
      <x:c r="F868" s="27"/>
    </x:row>
    <x:row r="869">
      <x:c r="F869" s="27"/>
    </x:row>
    <x:row r="870">
      <x:c r="F870" s="27"/>
    </x:row>
    <x:row r="871">
      <x:c r="F871" s="27"/>
    </x:row>
    <x:row r="872">
      <x:c r="F872" s="27"/>
    </x:row>
    <x:row r="873">
      <x:c r="F873" s="27"/>
    </x:row>
    <x:row r="874">
      <x:c r="F874" s="27"/>
    </x:row>
    <x:row r="875">
      <x:c r="F875" s="27"/>
    </x:row>
    <x:row r="876">
      <x:c r="F876" s="27"/>
    </x:row>
    <x:row r="877">
      <x:c r="F877" s="27"/>
    </x:row>
    <x:row r="878">
      <x:c r="F878" s="27"/>
    </x:row>
    <x:row r="879">
      <x:c r="F879" s="27"/>
    </x:row>
    <x:row r="880">
      <x:c r="F880" s="27"/>
    </x:row>
    <x:row r="881">
      <x:c r="F881" s="27"/>
    </x:row>
    <x:row r="882">
      <x:c r="F882" s="27"/>
    </x:row>
    <x:row r="883">
      <x:c r="F883" s="27"/>
    </x:row>
    <x:row r="884">
      <x:c r="F884" s="27"/>
    </x:row>
    <x:row r="885">
      <x:c r="F885" s="27"/>
    </x:row>
    <x:row r="886">
      <x:c r="F886" s="27"/>
    </x:row>
    <x:row r="887">
      <x:c r="F887" s="27"/>
    </x:row>
    <x:row r="888">
      <x:c r="F888" s="27"/>
    </x:row>
    <x:row r="889">
      <x:c r="F889" s="27"/>
    </x:row>
    <x:row r="890">
      <x:c r="F890" s="27"/>
    </x:row>
    <x:row r="891">
      <x:c r="F891" s="27"/>
    </x:row>
    <x:row r="892">
      <x:c r="F892" s="27"/>
    </x:row>
    <x:row r="893">
      <x:c r="F893" s="27"/>
    </x:row>
    <x:row r="894">
      <x:c r="F894" s="27"/>
    </x:row>
    <x:row r="895">
      <x:c r="F895" s="27"/>
    </x:row>
    <x:row r="896">
      <x:c r="F896" s="27"/>
    </x:row>
    <x:row r="897">
      <x:c r="F897" s="27"/>
    </x:row>
    <x:row r="898">
      <x:c r="F898" s="27"/>
    </x:row>
    <x:row r="899">
      <x:c r="F899" s="27"/>
    </x:row>
    <x:row r="900">
      <x:c r="F900" s="27"/>
    </x:row>
    <x:row r="901">
      <x:c r="F901" s="27"/>
    </x:row>
    <x:row r="902">
      <x:c r="F902" s="27"/>
    </x:row>
    <x:row r="903">
      <x:c r="F903" s="27"/>
    </x:row>
    <x:row r="904">
      <x:c r="F904" s="27"/>
    </x:row>
    <x:row r="905">
      <x:c r="F905" s="27"/>
    </x:row>
    <x:row r="906">
      <x:c r="F906" s="27"/>
    </x:row>
    <x:row r="907">
      <x:c r="F907" s="27"/>
    </x:row>
    <x:row r="908">
      <x:c r="F908" s="27"/>
    </x:row>
    <x:row r="909">
      <x:c r="F909" s="27"/>
    </x:row>
    <x:row r="910">
      <x:c r="F910" s="27"/>
    </x:row>
    <x:row r="911">
      <x:c r="F911" s="27"/>
    </x:row>
    <x:row r="912">
      <x:c r="F912" s="27"/>
    </x:row>
    <x:row r="913">
      <x:c r="F913" s="27"/>
    </x:row>
    <x:row r="914">
      <x:c r="F914" s="27"/>
    </x:row>
    <x:row r="915">
      <x:c r="F915" s="27"/>
    </x:row>
    <x:row r="916">
      <x:c r="F916" s="27"/>
    </x:row>
    <x:row r="917">
      <x:c r="F917" s="27"/>
    </x:row>
    <x:row r="918">
      <x:c r="F918" s="27"/>
    </x:row>
    <x:row r="919">
      <x:c r="F919" s="27"/>
    </x:row>
    <x:row r="920">
      <x:c r="F920" s="27"/>
    </x:row>
    <x:row r="921">
      <x:c r="F921" s="27"/>
    </x:row>
    <x:row r="922">
      <x:c r="F922" s="27"/>
    </x:row>
    <x:row r="923">
      <x:c r="F923" s="27"/>
    </x:row>
    <x:row r="924">
      <x:c r="F924" s="27"/>
    </x:row>
    <x:row r="925">
      <x:c r="F925" s="27"/>
    </x:row>
    <x:row r="926">
      <x:c r="F926" s="27"/>
    </x:row>
    <x:row r="927">
      <x:c r="F927" s="27"/>
    </x:row>
    <x:row r="928">
      <x:c r="F928" s="27"/>
    </x:row>
    <x:row r="929">
      <x:c r="F929" s="27"/>
    </x:row>
    <x:row r="930">
      <x:c r="F930" s="27"/>
    </x:row>
    <x:row r="931">
      <x:c r="F931" s="27"/>
    </x:row>
    <x:row r="932">
      <x:c r="F932" s="27"/>
    </x:row>
    <x:row r="933">
      <x:c r="F933" s="27"/>
    </x:row>
    <x:row r="934">
      <x:c r="F934" s="27"/>
    </x:row>
    <x:row r="935">
      <x:c r="F935" s="27"/>
    </x:row>
    <x:row r="936">
      <x:c r="F936" s="27"/>
    </x:row>
    <x:row r="937">
      <x:c r="F937" s="27"/>
    </x:row>
    <x:row r="938">
      <x:c r="F938" s="27"/>
    </x:row>
    <x:row r="939">
      <x:c r="F939" s="27"/>
    </x:row>
    <x:row r="940">
      <x:c r="F940" s="27"/>
    </x:row>
    <x:row r="941">
      <x:c r="F941" s="27"/>
    </x:row>
    <x:row r="942">
      <x:c r="F942" s="27"/>
    </x:row>
    <x:row r="943">
      <x:c r="F943" s="27"/>
    </x:row>
    <x:row r="944">
      <x:c r="F944" s="27"/>
    </x:row>
    <x:row r="945">
      <x:c r="F945" s="27"/>
    </x:row>
    <x:row r="946">
      <x:c r="F946" s="27"/>
    </x:row>
    <x:row r="947">
      <x:c r="F947" s="27"/>
    </x:row>
    <x:row r="948">
      <x:c r="F948" s="27"/>
    </x:row>
    <x:row r="949">
      <x:c r="F949" s="27"/>
    </x:row>
    <x:row r="950">
      <x:c r="F950" s="27"/>
    </x:row>
    <x:row r="951">
      <x:c r="F951" s="27"/>
    </x:row>
    <x:row r="952">
      <x:c r="F952" s="27"/>
    </x:row>
    <x:row r="953">
      <x:c r="F953" s="27"/>
    </x:row>
    <x:row r="954">
      <x:c r="F954" s="27"/>
    </x:row>
    <x:row r="955">
      <x:c r="F955" s="27"/>
    </x:row>
    <x:row r="956">
      <x:c r="F956" s="27"/>
    </x:row>
    <x:row r="957">
      <x:c r="F957" s="27"/>
    </x:row>
    <x:row r="958">
      <x:c r="F958" s="27"/>
    </x:row>
    <x:row r="959">
      <x:c r="F959" s="27"/>
    </x:row>
    <x:row r="960">
      <x:c r="F960" s="27"/>
    </x:row>
    <x:row r="961">
      <x:c r="F961" s="27"/>
    </x:row>
    <x:row r="962">
      <x:c r="F962" s="27"/>
    </x:row>
    <x:row r="963">
      <x:c r="F963" s="27"/>
    </x:row>
    <x:row r="964">
      <x:c r="F964" s="27"/>
    </x:row>
    <x:row r="965">
      <x:c r="F965" s="27"/>
    </x:row>
    <x:row r="966">
      <x:c r="F966" s="27"/>
    </x:row>
    <x:row r="967">
      <x:c r="F967" s="27"/>
    </x:row>
    <x:row r="968">
      <x:c r="F968" s="27"/>
    </x:row>
    <x:row r="969">
      <x:c r="F969" s="27"/>
    </x:row>
    <x:row r="970">
      <x:c r="F970" s="27"/>
    </x:row>
    <x:row r="971">
      <x:c r="F971" s="27"/>
    </x:row>
    <x:row r="972">
      <x:c r="F972" s="27"/>
    </x:row>
    <x:row r="973">
      <x:c r="F973" s="27"/>
    </x:row>
    <x:row r="974">
      <x:c r="F974" s="27"/>
    </x:row>
    <x:row r="975">
      <x:c r="F975" s="27"/>
    </x:row>
    <x:row r="976">
      <x:c r="F976" s="27"/>
    </x:row>
    <x:row r="977">
      <x:c r="F977" s="27"/>
    </x:row>
    <x:row r="978">
      <x:c r="F978" s="27"/>
    </x:row>
    <x:row r="979">
      <x:c r="F979" s="27"/>
    </x:row>
    <x:row r="980">
      <x:c r="F980" s="27"/>
    </x:row>
    <x:row r="981">
      <x:c r="F981" s="27"/>
    </x:row>
    <x:row r="982">
      <x:c r="F982" s="27"/>
    </x:row>
    <x:row r="983">
      <x:c r="F983" s="27"/>
    </x:row>
    <x:row r="984">
      <x:c r="F984" s="27"/>
    </x:row>
    <x:row r="985">
      <x:c r="F985" s="27"/>
    </x:row>
    <x:row r="986">
      <x:c r="F986" s="27"/>
    </x:row>
    <x:row r="987">
      <x:c r="F987" s="27"/>
    </x:row>
    <x:row r="988">
      <x:c r="F988" s="27"/>
    </x:row>
    <x:row r="989">
      <x:c r="F989" s="27"/>
    </x:row>
    <x:row r="990">
      <x:c r="F990" s="27"/>
    </x:row>
    <x:row r="991">
      <x:c r="F991" s="27"/>
    </x:row>
    <x:row r="992">
      <x:c r="F992" s="27"/>
    </x:row>
    <x:row r="993">
      <x:c r="F993" s="27"/>
    </x:row>
    <x:row r="994">
      <x:c r="F994" s="27"/>
    </x:row>
    <x:row r="995">
      <x:c r="F995" s="27"/>
    </x:row>
    <x:row r="996">
      <x:c r="F996" s="27"/>
    </x:row>
    <x:row r="997">
      <x:c r="F997" s="27"/>
    </x:row>
    <x:row r="998">
      <x:c r="F998" s="27"/>
    </x:row>
    <x:row r="999">
      <x:c r="F999" s="27"/>
    </x:row>
    <x:row r="1000">
      <x:c r="F1000" s="27"/>
    </x:row>
  </x:sheetData>
  <x:dataValidations count="4">
    <x:dataValidation type="list" sqref="B2:B1000">
      <x:formula1>"GitHub Issue,FGI 案例,项目文档,其他"</x:formula1>
    </x:dataValidation>
    <x:dataValidation type="list" sqref="K2:K1000">
      <x:formula1>"是,否,部分可发现,待判断"</x:formula1>
    </x:dataValidation>
    <x:dataValidation type="list" sqref="M2:M1000">
      <x:formula1>"是,否,部分解决,处理中,待判断"</x:formula1>
    </x:dataValidation>
    <x:dataValidation type="list" sqref="P2:P1000">
      <x:formula1>"已通过,待检查,不适用"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487426f048488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42" hidden="0" customWidth="1"/>
    <x:col min="5" max="5" width="13" hidden="0" customWidth="1"/>
    <x:col min="6" max="6" width="13" hidden="0" customWidth="1"/>
    <x:col min="7" max="7" width="58" hidden="0" customWidth="1"/>
    <x:col min="8" max="8" width="18" hidden="0" customWidth="1"/>
    <x:col min="9" max="9" width="16" hidden="0" customWidth="1"/>
    <x:col min="10" max="10" width="18" hidden="0" customWidth="1"/>
    <x:col min="11" max="11" width="15" hidden="0" customWidth="1"/>
    <x:col min="12" max="12" width="16" hidden="0" customWidth="1"/>
    <x:col min="13" max="13" width="16" hidden="0" customWidth="1"/>
    <x:col min="14" max="14" width="18" hidden="0" customWidth="1"/>
    <x:col min="15" max="15" width="40" hidden="0" customWidth="1"/>
  </x:cols>
  <x:sheetData>
    <x:row r="1" ht="36" customHeight="1">
      <x:c r="A1" s="58" t="str">
        <x:v>Case_ID</x:v>
      </x:c>
      <x:c r="B1" s="58" t="str">
        <x:v>来源类型</x:v>
      </x:c>
      <x:c r="C1" s="58" t="str">
        <x:v>仓库或案例标题</x:v>
      </x:c>
      <x:c r="D1" s="58" t="str">
        <x:v>原始链接</x:v>
      </x:c>
      <x:c r="E1" s="58" t="str">
        <x:v>发布日期</x:v>
      </x:c>
      <x:c r="F1" s="58" t="str">
        <x:v>访问日期</x:v>
      </x:c>
      <x:c r="G1" s="58" t="str">
        <x:v>原始问题证据摘录</x:v>
      </x:c>
      <x:c r="H1" s="58" t="str">
        <x:v>来源是否可访问</x:v>
      </x:c>
      <x:c r="I1" s="58" t="str">
        <x:v>事实是否充分</x:v>
      </x:c>
      <x:c r="J1" s="58" t="str">
        <x:v>证据强度_初审</x:v>
      </x:c>
      <x:c r="K1" s="58" t="str">
        <x:v>重复簇编号</x:v>
      </x:c>
      <x:c r="L1" s="58" t="str">
        <x:v>是否重复案例</x:v>
      </x:c>
      <x:c r="M1" s="58" t="str">
        <x:v>隐私是否合规</x:v>
      </x:c>
      <x:c r="N1" s="58" t="str">
        <x:v>审计结论</x:v>
      </x:c>
      <x:c r="O1" s="58" t="str">
        <x:v>审计备注</x:v>
      </x:c>
    </x:row>
    <x:row r="2" ht="72" customHeight="1">
      <x:c r="A2" s="66" t="str">
        <x:v>C-001</x:v>
      </x:c>
      <x:c r="B2" s="64" t="str">
        <x:f>'Public_Cases'!B2</x:f>
        <x:v>GitHub Issue</x:v>
      </x:c>
      <x:c r="C2" s="64" t="str">
        <x:f>'Public_Cases'!C2</x:f>
        <x:v>SCLBD/DeepfakeBench</x:v>
      </x:c>
      <x:c r="D2" s="64" t="str">
        <x:f>'Public_Cases'!E2</x:f>
        <x:v>https://github.com/SCLBD/DeepfakeBench/issues/110</x:v>
      </x:c>
      <x:c r="E2" s="68" t="n">
        <x:v>45563</x:v>
      </x:c>
      <x:c r="F2" s="68" t="n">
        <x:f>'Public_Cases'!F2</x:f>
        <x:v>46239</x:v>
      </x:c>
      <x:c r="G2" s="64" t="str">
        <x:f>'Public_Cases'!H2</x:f>
        <x:v>按 README 运行 Xception 训练时图片加载失败。用户检查 YAML、trainer.py 和实际路径后仍无法定位；排错最终发现配置使用 LMDB 读取模式，但传入的是 PNG 原图路径。</x:v>
      </x:c>
      <x:c r="H2" s="66" t="str">
        <x:v>是</x:v>
      </x:c>
      <x:c r="I2" s="66" t="str">
        <x:v>充分</x:v>
      </x:c>
      <x:c r="J2" s="66" t="str">
        <x:v>强</x:v>
      </x:c>
      <x:c r="K2" s="66"/>
      <x:c r="L2" s="66" t="str">
        <x:v>否</x:v>
      </x:c>
      <x:c r="M2" s="66" t="str">
        <x:v>通过</x:v>
      </x:c>
      <x:c r="N2" s="66" t="str">
        <x:v>通过</x:v>
      </x:c>
      <x:c r="O2" s="64" t="str">
        <x:v>原页于2026-08-07复核可访问；有训练命令、图片加载报错、LMDB/PNG配置背景及用户确认。</x:v>
      </x:c>
    </x:row>
    <x:row r="3" ht="72" customHeight="1">
      <x:c r="A3" s="66" t="str">
        <x:v>C-002</x:v>
      </x:c>
      <x:c r="B3" s="64" t="str">
        <x:f>'Public_Cases'!B3</x:f>
        <x:v>GitHub Issue</x:v>
      </x:c>
      <x:c r="C3" s="64" t="str">
        <x:f>'Public_Cases'!C3</x:f>
        <x:v>SCLBD/DeepfakeBench</x:v>
      </x:c>
      <x:c r="D3" s="64" t="str">
        <x:f>'Public_Cases'!E3</x:f>
        <x:v>https://github.com/SCLBD/DeepfakeBench/issues/13</x:v>
      </x:c>
      <x:c r="E3" s="68" t="n">
        <x:v>45134</x:v>
      </x:c>
      <x:c r="F3" s="68" t="n">
        <x:f>'Public_Cases'!F3</x:f>
        <x:v>46239</x:v>
      </x:c>
      <x:c r="G3" s="64" t="str">
        <x:f>'Public_Cases'!H3</x:f>
        <x:v>用户报告 DFDCP 数据包缺少 method_B 视频，Celeb-DF-v2 缺少 List_of_testing_videos.txt，DFDCP dataset.json 不完整，DFDC 分包缺少 metadata.json。</x:v>
      </x:c>
      <x:c r="H3" s="66" t="str">
        <x:v>是</x:v>
      </x:c>
      <x:c r="I3" s="66" t="str">
        <x:v>充分</x:v>
      </x:c>
      <x:c r="J3" s="66" t="str">
        <x:v>强</x:v>
      </x:c>
      <x:c r="K3" s="66"/>
      <x:c r="L3" s="66" t="str">
        <x:v>否</x:v>
      </x:c>
      <x:c r="M3" s="66" t="str">
        <x:v>通过</x:v>
      </x:c>
      <x:c r="N3" s="66" t="str">
        <x:v>通过</x:v>
      </x:c>
      <x:c r="O3" s="64" t="str">
        <x:v>原页于2026-08-07复核可访问；有缺失文件清单、预处理背景、作者补充回复及后续访问问题。</x:v>
      </x:c>
    </x:row>
    <x:row r="4" ht="72" customHeight="1">
      <x:c r="A4" s="66" t="str">
        <x:v>C-003</x:v>
      </x:c>
      <x:c r="B4" s="64" t="str">
        <x:f>'Public_Cases'!B4</x:f>
        <x:v>GitHub Issue</x:v>
      </x:c>
      <x:c r="C4" s="64" t="str">
        <x:f>'Public_Cases'!C4</x:f>
        <x:v>SCLBD/DeepfakeBench</x:v>
      </x:c>
      <x:c r="D4" s="64" t="str">
        <x:f>'Public_Cases'!E4</x:f>
        <x:v>https://github.com/SCLBD/DeepfakeBench/issues/79</x:v>
      </x:c>
      <x:c r="E4" s="68" t="n">
        <x:v>45453</x:v>
      </x:c>
      <x:c r="F4" s="68" t="n">
        <x:f>'Public_Cases'!F4</x:f>
        <x:v>46239</x:v>
      </x:c>
      <x:c r="G4" s="64" t="str">
        <x:f>'Public_Cases'!H4</x:f>
        <x:v>加载发布的 EfficientNetB4 检测器权重时出现 Missing/Unexpected key(s) in state_dict；EfficientNetB4 与 I3D 存在 backbone.、resnet. 等系统性键名前缀差异。</x:v>
      </x:c>
      <x:c r="H4" s="66" t="str">
        <x:v>是</x:v>
      </x:c>
      <x:c r="I4" s="66" t="str">
        <x:v>充分</x:v>
      </x:c>
      <x:c r="J4" s="66" t="str">
        <x:v>强</x:v>
      </x:c>
      <x:c r="K4" s="66"/>
      <x:c r="L4" s="66" t="str">
        <x:v>否</x:v>
      </x:c>
      <x:c r="M4" s="66" t="str">
        <x:v>通过</x:v>
      </x:c>
      <x:c r="N4" s="66" t="str">
        <x:v>通过</x:v>
      </x:c>
      <x:c r="O4" s="64" t="str">
        <x:v>原页于2026-08-07复核可访问；有state_dict明确报错、键名前缀差异和社区验证的绕行过程。</x:v>
      </x:c>
    </x:row>
    <x:row r="5" ht="72" customHeight="1">
      <x:c r="A5" s="66" t="str">
        <x:v>C-004</x:v>
      </x:c>
      <x:c r="B5" s="64" t="str">
        <x:f>'Public_Cases'!B5</x:f>
        <x:v>GitHub Issue 回复链</x:v>
      </x:c>
      <x:c r="C5" s="64" t="str">
        <x:f>'Public_Cases'!C5</x:f>
        <x:v>SCLBD/DeepfakeBench</x:v>
      </x:c>
      <x:c r="D5" s="64" t="str">
        <x:f>'Public_Cases'!E5</x:f>
        <x:v>https://github.com/SCLBD/DeepfakeBench/issues/109</x:v>
      </x:c>
      <x:c r="E5" s="68" t="n">
        <x:v>45562</x:v>
      </x:c>
      <x:c r="F5" s="68" t="n">
        <x:f>'Public_Cases'!F5</x:f>
        <x:v>46239</x:v>
      </x:c>
      <x:c r="G5" s="64" t="str">
        <x:f>'Public_Cases'!H5</x:f>
        <x:v>回复链用户使用约 90 GB 内存评测 DFDC 等大数据集时仍发生内存溢出，进程被系统直接终止；讨论指向持续累计预测结果和高维特征列表。</x:v>
      </x:c>
      <x:c r="H5" s="66" t="str">
        <x:v>是</x:v>
      </x:c>
      <x:c r="I5" s="66" t="str">
        <x:v>充分</x:v>
      </x:c>
      <x:c r="J5" s="66" t="str">
        <x:v>强</x:v>
      </x:c>
      <x:c r="K5" s="66"/>
      <x:c r="L5" s="66" t="str">
        <x:v>否</x:v>
      </x:c>
      <x:c r="M5" s="66" t="str">
        <x:v>通过</x:v>
      </x:c>
      <x:c r="N5" s="66" t="str">
        <x:v>通过</x:v>
      </x:c>
      <x:c r="O5" s="64" t="str">
        <x:v>原页于2026-08-07复核可访问；证据来自#109回复链的独立子事件，有90GB内存背景、处理建议及两次确认。</x:v>
      </x:c>
    </x:row>
    <x:row r="6" ht="72" customHeight="1">
      <x:c r="A6" s="66" t="str">
        <x:v>C-005</x:v>
      </x:c>
      <x:c r="B6" s="64" t="str">
        <x:f>'Public_Cases'!B6</x:f>
        <x:v>GitHub Issue</x:v>
      </x:c>
      <x:c r="C6" s="64" t="str">
        <x:f>'Public_Cases'!C6</x:f>
        <x:v>SCLBD/DeepfakeBench</x:v>
      </x:c>
      <x:c r="D6" s="64" t="str">
        <x:f>'Public_Cases'!E6</x:f>
        <x:v>https://github.com/SCLBD/DeepfakeBench/issues/66</x:v>
      </x:c>
      <x:c r="E6" s="68" t="n">
        <x:v>45423</x:v>
      </x:c>
      <x:c r="F6" s="68" t="n">
        <x:f>'Public_Cases'!F6</x:f>
        <x:v>46239</x:v>
      </x:c>
      <x:c r="G6" s="64" t="str">
        <x:f>'Public_Cases'!H6</x:f>
        <x:v>训练 LSDA 时反复出现 list index out of range 和 maximum recursion depth exceeded；公开回复认为可能存在缺失视频或部分视频抽帧不足 32 帧。</x:v>
      </x:c>
      <x:c r="H6" s="66" t="str">
        <x:v>是</x:v>
      </x:c>
      <x:c r="I6" s="66" t="str">
        <x:v>充分</x:v>
      </x:c>
      <x:c r="J6" s="66" t="str">
        <x:v>强</x:v>
      </x:c>
      <x:c r="K6" s="66"/>
      <x:c r="L6" s="66" t="str">
        <x:v>否</x:v>
      </x:c>
      <x:c r="M6" s="66" t="str">
        <x:v>通过</x:v>
      </x:c>
      <x:c r="N6" s="66" t="str">
        <x:v>通过</x:v>
      </x:c>
      <x:c r="O6" s="64" t="str">
        <x:v>原页于2026-08-07复核可访问；有索引越界/递归报错、数据帧数背景及多种处理反馈。</x:v>
      </x:c>
    </x:row>
    <x:row r="7" ht="72" customHeight="1">
      <x:c r="A7" s="66" t="str">
        <x:v>C-006</x:v>
      </x:c>
      <x:c r="B7" s="64" t="str">
        <x:f>'Public_Cases'!B7</x:f>
        <x:v>GitHub Issue</x:v>
      </x:c>
      <x:c r="C7" s="64" t="str">
        <x:f>'Public_Cases'!C7</x:f>
        <x:v>SCLBD/DeepfakeBench</x:v>
      </x:c>
      <x:c r="D7" s="64" t="str">
        <x:f>'Public_Cases'!E7</x:f>
        <x:v>https://github.com/SCLBD/DeepfakeBench/issues/68</x:v>
      </x:c>
      <x:c r="E7" s="68" t="n">
        <x:v>45426</x:v>
      </x:c>
      <x:c r="F7" s="68" t="n">
        <x:f>'Public_Cases'!F7</x:f>
        <x:v>46239</x:v>
      </x:c>
      <x:c r="G7" s="64" t="str">
        <x:f>'Public_Cases'!H7</x:f>
        <x:v>SBI 数据增强在生成掩膜时出现二维数组按三维索引，以及图像对象为 None 的类型错误。</x:v>
      </x:c>
      <x:c r="H7" s="66" t="str">
        <x:v>是</x:v>
      </x:c>
      <x:c r="I7" s="66" t="str">
        <x:v>充分</x:v>
      </x:c>
      <x:c r="J7" s="66" t="str">
        <x:v>强</x:v>
      </x:c>
      <x:c r="K7" s="66"/>
      <x:c r="L7" s="66" t="str">
        <x:v>否</x:v>
      </x:c>
      <x:c r="M7" s="66" t="str">
        <x:v>通过</x:v>
      </x:c>
      <x:c r="N7" s="66" t="str">
        <x:v>通过</x:v>
      </x:c>
      <x:c r="O7" s="64" t="str">
        <x:v>原页于2026-08-07复核可访问；有掩膜维度和None类型报错、代码调整建议及后续反馈。</x:v>
      </x:c>
    </x:row>
    <x:row r="8" ht="72" customHeight="1">
      <x:c r="A8" s="66" t="str">
        <x:v>C-007</x:v>
      </x:c>
      <x:c r="B8" s="64" t="str">
        <x:f>'Public_Cases'!B8</x:f>
        <x:v>GitHub Issue</x:v>
      </x:c>
      <x:c r="C8" s="64" t="str">
        <x:f>'Public_Cases'!C8</x:f>
        <x:v>open-mmlab/mmaction2</x:v>
      </x:c>
      <x:c r="D8" s="64" t="str">
        <x:f>'Public_Cases'!E8</x:f>
        <x:v>https://github.com/open-mmlab/mmaction2/issues/806</x:v>
      </x:c>
      <x:c r="E8" s="68" t="n">
        <x:v>44299</x:v>
      </x:c>
      <x:c r="F8" s="68" t="n">
        <x:f>'Public_Cases'!F8</x:f>
        <x:v>46239</x:v>
      </x:c>
      <x:c r="G8" s="64" t="str">
        <x:f>'Public_Cases'!H8</x:f>
        <x:v>生成 AVA long-term feature bank 时读取不存在的帧文件，不同视频实际提取帧数低于流程预期。</x:v>
      </x:c>
      <x:c r="H8" s="66" t="str">
        <x:v>是</x:v>
      </x:c>
      <x:c r="I8" s="66" t="str">
        <x:v>充分</x:v>
      </x:c>
      <x:c r="J8" s="66" t="str">
        <x:v>强</x:v>
      </x:c>
      <x:c r="K8" s="66"/>
      <x:c r="L8" s="66" t="str">
        <x:v>否</x:v>
      </x:c>
      <x:c r="M8" s="66" t="str">
        <x:v>通过</x:v>
      </x:c>
      <x:c r="N8" s="66" t="str">
        <x:v>通过</x:v>
      </x:c>
      <x:c r="O8" s="64" t="str">
        <x:v>原页于2026-08-07复核可访问；有缺帧报错、抽帧方式背景和ffmpeg处理建议。</x:v>
      </x:c>
    </x:row>
    <x:row r="9" ht="72" customHeight="1">
      <x:c r="A9" s="66" t="str">
        <x:v>C-008</x:v>
      </x:c>
      <x:c r="B9" s="64" t="str">
        <x:f>'Public_Cases'!B9</x:f>
        <x:v>GitHub Issue</x:v>
      </x:c>
      <x:c r="C9" s="64" t="str">
        <x:f>'Public_Cases'!C9</x:f>
        <x:v>open-mmlab/mmaction2</x:v>
      </x:c>
      <x:c r="D9" s="64" t="str">
        <x:f>'Public_Cases'!E9</x:f>
        <x:v>https://github.com/open-mmlab/mmaction2/issues/904</x:v>
      </x:c>
      <x:c r="E9" s="68" t="n">
        <x:v>44351</x:v>
      </x:c>
      <x:c r="F9" s="68" t="n">
        <x:f>'Public_Cases'!F9</x:f>
        <x:v>46239</x:v>
      </x:c>
      <x:c r="G9" s="64" t="str">
        <x:f>'Public_Cases'!H9</x:f>
        <x:v>对光流帧执行单视频推理时，工具错误计算总帧数并请求不存在的文件；简单修改 `start_index` 无效。</x:v>
      </x:c>
      <x:c r="H9" s="66" t="str">
        <x:v>是</x:v>
      </x:c>
      <x:c r="I9" s="66" t="str">
        <x:v>充分</x:v>
      </x:c>
      <x:c r="J9" s="66" t="str">
        <x:v>强</x:v>
      </x:c>
      <x:c r="K9" s="66"/>
      <x:c r="L9" s="66" t="str">
        <x:v>否</x:v>
      </x:c>
      <x:c r="M9" s="66" t="str">
        <x:v>通过</x:v>
      </x:c>
      <x:c r="N9" s="66" t="str">
        <x:v>通过</x:v>
      </x:c>
      <x:c r="O9" s="64" t="str">
        <x:v>原页于2026-08-07复核可访问；有不存在帧文件报错、光流计数缺陷和修复确认。</x:v>
      </x:c>
    </x:row>
    <x:row r="10" ht="72" customHeight="1">
      <x:c r="A10" s="66" t="str">
        <x:v>C-009</x:v>
      </x:c>
      <x:c r="B10" s="64" t="str">
        <x:f>'Public_Cases'!B10</x:f>
        <x:v>GitHub Issue</x:v>
      </x:c>
      <x:c r="C10" s="64" t="str">
        <x:f>'Public_Cases'!C10</x:f>
        <x:v>open-mmlab/mmaction2</x:v>
      </x:c>
      <x:c r="D10" s="64" t="str">
        <x:f>'Public_Cases'!E10</x:f>
        <x:v>https://github.com/open-mmlab/mmaction2/issues/421</x:v>
      </x:c>
      <x:c r="E10" s="68" t="n">
        <x:v>44171</x:v>
      </x:c>
      <x:c r="F10" s="68" t="n">
        <x:f>'Public_Cases'!F10</x:f>
        <x:v>46239</x:v>
      </x:c>
      <x:c r="G10" s="64" t="str">
        <x:f>'Public_Cases'!H10</x:f>
        <x:v>单 GPU 训练停在数据加载阶段，没有继续输出；将 `workers_per_gpu` 设为 0 后恢复。</x:v>
      </x:c>
      <x:c r="H10" s="66" t="str">
        <x:v>是</x:v>
      </x:c>
      <x:c r="I10" s="66" t="str">
        <x:v>充分</x:v>
      </x:c>
      <x:c r="J10" s="66" t="str">
        <x:v>强</x:v>
      </x:c>
      <x:c r="K10" s="66"/>
      <x:c r="L10" s="66" t="str">
        <x:v>否</x:v>
      </x:c>
      <x:c r="M10" s="66" t="str">
        <x:v>通过</x:v>
      </x:c>
      <x:c r="N10" s="66" t="str">
        <x:v>通过</x:v>
      </x:c>
      <x:c r="O10" s="64" t="str">
        <x:v>原页于2026-08-07复核可访问；有训练挂起现象、worker配置背景和共享内存诊断。</x:v>
      </x:c>
    </x:row>
    <x:row r="11" ht="72" customHeight="1">
      <x:c r="A11" s="66" t="str">
        <x:v>C-010</x:v>
      </x:c>
      <x:c r="B11" s="64" t="str">
        <x:f>'Public_Cases'!B11</x:f>
        <x:v>GitHub Issue</x:v>
      </x:c>
      <x:c r="C11" s="64" t="str">
        <x:f>'Public_Cases'!C11</x:f>
        <x:v>open-mmlab/mmaction2</x:v>
      </x:c>
      <x:c r="D11" s="64" t="str">
        <x:f>'Public_Cases'!E11</x:f>
        <x:v>https://github.com/open-mmlab/mmaction2/issues/670</x:v>
      </x:c>
      <x:c r="E11" s="68" t="n">
        <x:v>44258</x:v>
      </x:c>
      <x:c r="F11" s="68" t="n">
        <x:f>'Public_Cases'!F11</x:f>
        <x:v>46239</x:v>
      </x:c>
      <x:c r="G11" s="64" t="str">
        <x:f>'Public_Cases'!H11</x:f>
        <x:v>自定义 AVA 数据训练 SlowFast 时，时间维度经采样后变为 0；增大 clip length 后又触发 CUDA 显存不足。</x:v>
      </x:c>
      <x:c r="H11" s="66" t="str">
        <x:v>是</x:v>
      </x:c>
      <x:c r="I11" s="66" t="str">
        <x:v>充分</x:v>
      </x:c>
      <x:c r="J11" s="66" t="str">
        <x:v>强</x:v>
      </x:c>
      <x:c r="K11" s="66"/>
      <x:c r="L11" s="66" t="str">
        <x:v>否</x:v>
      </x:c>
      <x:c r="M11" s="66" t="str">
        <x:v>通过</x:v>
      </x:c>
      <x:c r="N11" s="66" t="str">
        <x:v>通过</x:v>
      </x:c>
      <x:c r="O11" s="64" t="str">
        <x:v>原页于2026-08-07复核可访问；有时间维度为0及CUDA OOM报错、采样和资源配置背景。</x:v>
      </x:c>
    </x:row>
    <x:row r="12" ht="72" customHeight="1">
      <x:c r="A12" s="66" t="str">
        <x:v>C-011</x:v>
      </x:c>
      <x:c r="B12" s="64" t="str">
        <x:f>'Public_Cases'!B12</x:f>
        <x:v>GitHub Issue</x:v>
      </x:c>
      <x:c r="C12" s="64" t="str">
        <x:f>'Public_Cases'!C12</x:f>
        <x:v>open-mmlab/mmaction2</x:v>
      </x:c>
      <x:c r="D12" s="64" t="str">
        <x:f>'Public_Cases'!E12</x:f>
        <x:v>https://github.com/open-mmlab/mmaction2/issues/414</x:v>
      </x:c>
      <x:c r="E12" s="68" t="n">
        <x:v>44168</x:v>
      </x:c>
      <x:c r="F12" s="68" t="n">
        <x:f>'Public_Cases'!F12</x:f>
        <x:v>46239</x:v>
      </x:c>
      <x:c r="G12" s="64" t="str">
        <x:f>'Public_Cases'!H12</x:f>
        <x:v>模型可导出并通过 ONNX 验证，但 TensorRT 转换因 PyTorch 1.7 生成不支持的 ONNX `If` 节点失败。</x:v>
      </x:c>
      <x:c r="H12" s="66" t="str">
        <x:v>是</x:v>
      </x:c>
      <x:c r="I12" s="66" t="str">
        <x:v>充分</x:v>
      </x:c>
      <x:c r="J12" s="66" t="str">
        <x:v>强</x:v>
      </x:c>
      <x:c r="K12" s="66"/>
      <x:c r="L12" s="66" t="str">
        <x:v>否</x:v>
      </x:c>
      <x:c r="M12" s="66" t="str">
        <x:v>通过</x:v>
      </x:c>
      <x:c r="N12" s="66" t="str">
        <x:v>通过</x:v>
      </x:c>
      <x:c r="O12" s="64" t="str">
        <x:v>原页于2026-08-07复核可访问；有ONNX If节点/TensorRT报错、版本背景和降级验证。</x:v>
      </x:c>
    </x:row>
    <x:row r="13" ht="72" customHeight="1">
      <x:c r="A13" s="66" t="str">
        <x:v>C-012</x:v>
      </x:c>
      <x:c r="B13" s="64" t="str">
        <x:f>'Public_Cases'!B13</x:f>
        <x:v>GitHub Issue</x:v>
      </x:c>
      <x:c r="C13" s="64" t="str">
        <x:f>'Public_Cases'!C13</x:f>
        <x:v>open-mmlab/mmaction2</x:v>
      </x:c>
      <x:c r="D13" s="64" t="str">
        <x:f>'Public_Cases'!E13</x:f>
        <x:v>https://github.com/open-mmlab/mmaction2/issues/732</x:v>
      </x:c>
      <x:c r="E13" s="68" t="n">
        <x:v>44271</x:v>
      </x:c>
      <x:c r="F13" s="68" t="n">
        <x:f>'Public_Cases'!F13</x:f>
        <x:v>46239</x:v>
      </x:c>
      <x:c r="G13" s="64" t="str">
        <x:f>'Public_Cases'!H13</x:f>
        <x:v>受硬件限制将 clip length 调低后，自定义 SlowFast 训练多轮 mAP 始终为 0，并伴随类别数断言和显存约束。</x:v>
      </x:c>
      <x:c r="H13" s="66" t="str">
        <x:v>是</x:v>
      </x:c>
      <x:c r="I13" s="66" t="str">
        <x:v>充分</x:v>
      </x:c>
      <x:c r="J13" s="66" t="str">
        <x:v>强</x:v>
      </x:c>
      <x:c r="K13" s="66"/>
      <x:c r="L13" s="66" t="str">
        <x:v>否</x:v>
      </x:c>
      <x:c r="M13" s="66" t="str">
        <x:v>通过</x:v>
      </x:c>
      <x:c r="N13" s="66" t="str">
        <x:v>通过</x:v>
      </x:c>
      <x:c r="O13" s="64" t="str">
        <x:v>原页于2026-08-07复核可访问；有mAP为0、类别断言、显存限制和配置建议；未解决不影响事实充分性。</x:v>
      </x:c>
    </x:row>
    <x:row r="14" ht="72" customHeight="1">
      <x:c r="A14" s="66" t="str">
        <x:v>C-013</x:v>
      </x:c>
      <x:c r="B14" s="64" t="str">
        <x:f>'Public_Cases'!B14</x:f>
        <x:v>GitHub Issue</x:v>
      </x:c>
      <x:c r="C14" s="64" t="str">
        <x:f>'Public_Cases'!C14</x:f>
        <x:v>facebookresearch/detectron2</x:v>
      </x:c>
      <x:c r="D14" s="64" t="str">
        <x:f>'Public_Cases'!E14</x:f>
        <x:v>https://github.com/facebookresearch/detectron2/issues/4354</x:v>
      </x:c>
      <x:c r="E14" s="68" t="n">
        <x:v>44735</x:v>
      </x:c>
      <x:c r="F14" s="68" t="n">
        <x:f>'Public_Cases'!F14</x:f>
        <x:v>46239</x:v>
      </x:c>
      <x:c r="G14" s="64" t="str">
        <x:f>'Public_Cases'!H14</x:f>
        <x:v>按官方命令导出全景分割模型时，无法从 `detectron2.export` 导入 `Caffe2Tracer`。</x:v>
      </x:c>
      <x:c r="H14" s="66" t="str">
        <x:v>是</x:v>
      </x:c>
      <x:c r="I14" s="66" t="str">
        <x:v>充分</x:v>
      </x:c>
      <x:c r="J14" s="66" t="str">
        <x:v>强</x:v>
      </x:c>
      <x:c r="K14" s="66"/>
      <x:c r="L14" s="66" t="str">
        <x:v>否</x:v>
      </x:c>
      <x:c r="M14" s="66" t="str">
        <x:v>通过</x:v>
      </x:c>
      <x:c r="N14" s="66" t="str">
        <x:v>通过</x:v>
      </x:c>
      <x:c r="O14" s="64" t="str">
        <x:v>原页于2026-08-07复核可访问；有Caffe2Tracer导入报错、官方命令背景及多名用户反馈。</x:v>
      </x:c>
    </x:row>
    <x:row r="15" ht="72" customHeight="1">
      <x:c r="A15" s="66" t="str">
        <x:v>C-014</x:v>
      </x:c>
      <x:c r="B15" s="64" t="str">
        <x:f>'Public_Cases'!B15</x:f>
        <x:v>GitHub Issue</x:v>
      </x:c>
      <x:c r="C15" s="64" t="str">
        <x:f>'Public_Cases'!C15</x:f>
        <x:v>facebookresearch/detectron2</x:v>
      </x:c>
      <x:c r="D15" s="64" t="str">
        <x:f>'Public_Cases'!E15</x:f>
        <x:v>https://github.com/facebookresearch/detectron2/issues/4487</x:v>
      </x:c>
      <x:c r="E15" s="68" t="n">
        <x:v>44791</x:v>
      </x:c>
      <x:c r="F15" s="68" t="n">
        <x:f>'Public_Cases'!F15</x:f>
        <x:v>46239</x:v>
      </x:c>
      <x:c r="G15" s="64" t="str">
        <x:f>'Public_Cases'!H15</x:f>
        <x:v>官方 Colab 示例突然无法从 `torch.fx._symbolic_trace` 导入 `is_fx_tracing`。</x:v>
      </x:c>
      <x:c r="H15" s="66" t="str">
        <x:v>是</x:v>
      </x:c>
      <x:c r="I15" s="66" t="str">
        <x:v>充分</x:v>
      </x:c>
      <x:c r="J15" s="66" t="str">
        <x:v>强</x:v>
      </x:c>
      <x:c r="K15" s="66"/>
      <x:c r="L15" s="66" t="str">
        <x:v>否</x:v>
      </x:c>
      <x:c r="M15" s="66" t="str">
        <x:v>通过</x:v>
      </x:c>
      <x:c r="N15" s="66" t="str">
        <x:v>通过</x:v>
      </x:c>
      <x:c r="O15" s="64" t="str">
        <x:v>原页于2026-08-07复核可访问；有is_fx_tracing导入报错、官方Colab背景和版本绕行方案。</x:v>
      </x:c>
    </x:row>
    <x:row r="16" ht="72" customHeight="1">
      <x:c r="A16" s="66" t="str">
        <x:v>C-015</x:v>
      </x:c>
      <x:c r="B16" s="64" t="str">
        <x:f>'Public_Cases'!B16</x:f>
        <x:v>GitHub Issue</x:v>
      </x:c>
      <x:c r="C16" s="64" t="str">
        <x:f>'Public_Cases'!C16</x:f>
        <x:v>facebookresearch/detectron2</x:v>
      </x:c>
      <x:c r="D16" s="64" t="str">
        <x:f>'Public_Cases'!E16</x:f>
        <x:v>https://github.com/facebookresearch/detectron2/issues/1018</x:v>
      </x:c>
      <x:c r="E16" s="68" t="n">
        <x:v>43900</x:v>
      </x:c>
      <x:c r="F16" s="68" t="n">
        <x:f>'Public_Cases'!F16</x:f>
        <x:v>46239</x:v>
      </x:c>
      <x:c r="G16" s="64" t="str">
        <x:f>'Public_Cases'!H16</x:f>
        <x:v>运行 PointRend 或 DensePose 示例时无法导入 Detectron2 编译扩展 `_C`。</x:v>
      </x:c>
      <x:c r="H16" s="66" t="str">
        <x:v>是</x:v>
      </x:c>
      <x:c r="I16" s="66" t="str">
        <x:v>充分</x:v>
      </x:c>
      <x:c r="J16" s="66" t="str">
        <x:v>强</x:v>
      </x:c>
      <x:c r="K16" s="66"/>
      <x:c r="L16" s="66" t="str">
        <x:v>否</x:v>
      </x:c>
      <x:c r="M16" s="66" t="str">
        <x:v>通过</x:v>
      </x:c>
      <x:c r="N16" s="66" t="str">
        <x:v>通过</x:v>
      </x:c>
      <x:c r="O16" s="64" t="str">
        <x:v>原页于2026-08-07复核可访问；有_C扩展导入报错、运行目录背景和维护者解释。</x:v>
      </x:c>
    </x:row>
    <x:row r="17" ht="72" customHeight="1">
      <x:c r="A17" s="66" t="str">
        <x:v>C-016</x:v>
      </x:c>
      <x:c r="B17" s="64" t="str">
        <x:f>'Public_Cases'!B17</x:f>
        <x:v>GitHub Issue</x:v>
      </x:c>
      <x:c r="C17" s="64" t="str">
        <x:f>'Public_Cases'!C17</x:f>
        <x:v>facebookresearch/detectron2</x:v>
      </x:c>
      <x:c r="D17" s="64" t="str">
        <x:f>'Public_Cases'!E17</x:f>
        <x:v>https://github.com/facebookresearch/detectron2/issues/863</x:v>
      </x:c>
      <x:c r="E17" s="68" t="n">
        <x:v>43874</x:v>
      </x:c>
      <x:c r="F17" s="68" t="n">
        <x:f>'Public_Cases'!F17</x:f>
        <x:v>46239</x:v>
      </x:c>
      <x:c r="G17" s="64" t="str">
        <x:f>'Public_Cases'!H17</x:f>
        <x:v>自定义 COCO 数据触发图像尺寸不匹配；手机图片的 EXIF 方向导致读取后的宽高与标注坐标系不一致。</x:v>
      </x:c>
      <x:c r="H17" s="66" t="str">
        <x:v>是</x:v>
      </x:c>
      <x:c r="I17" s="66" t="str">
        <x:v>充分</x:v>
      </x:c>
      <x:c r="J17" s="66" t="str">
        <x:v>强</x:v>
      </x:c>
      <x:c r="K17" s="66"/>
      <x:c r="L17" s="66" t="str">
        <x:v>否</x:v>
      </x:c>
      <x:c r="M17" s="66" t="str">
        <x:v>通过</x:v>
      </x:c>
      <x:c r="N17" s="66" t="str">
        <x:v>通过</x:v>
      </x:c>
      <x:c r="O17" s="64" t="str">
        <x:v>原页于2026-08-07复核可访问；有尺寸不匹配、EXIF背景及用户验证。与C-018主题相近但为不同Issue和事件，不判重复。</x:v>
      </x:c>
    </x:row>
    <x:row r="18" ht="72" customHeight="1">
      <x:c r="A18" s="66" t="str">
        <x:v>C-017</x:v>
      </x:c>
      <x:c r="B18" s="64" t="str">
        <x:f>'Public_Cases'!B18</x:f>
        <x:v>GitHub Issue</x:v>
      </x:c>
      <x:c r="C18" s="64" t="str">
        <x:f>'Public_Cases'!C18</x:f>
        <x:v>facebookresearch/detectron2</x:v>
      </x:c>
      <x:c r="D18" s="64" t="str">
        <x:f>'Public_Cases'!E18</x:f>
        <x:v>https://github.com/facebookresearch/detectron2/issues/2365</x:v>
      </x:c>
      <x:c r="E18" s="68" t="n">
        <x:v>44175</x:v>
      </x:c>
      <x:c r="F18" s="68" t="n">
        <x:f>'Public_Cases'!F18</x:f>
        <x:v>46239</x:v>
      </x:c>
      <x:c r="G18" s="64" t="str">
        <x:f>'Public_Cases'!H18</x:f>
        <x:v>自定义数据训练出现 CUDA device-side assert，异步堆栈难以直接定位。</x:v>
      </x:c>
      <x:c r="H18" s="66" t="str">
        <x:v>是</x:v>
      </x:c>
      <x:c r="I18" s="66" t="str">
        <x:v>充分</x:v>
      </x:c>
      <x:c r="J18" s="66" t="str">
        <x:v>强</x:v>
      </x:c>
      <x:c r="K18" s="66"/>
      <x:c r="L18" s="66" t="str">
        <x:v>否</x:v>
      </x:c>
      <x:c r="M18" s="66" t="str">
        <x:v>通过</x:v>
      </x:c>
      <x:c r="N18" s="66" t="str">
        <x:v>通过</x:v>
      </x:c>
      <x:c r="O18" s="64" t="str">
        <x:v>原页于2026-08-07复核可访问；有CUDA assert、调试命令和异常类别值定位过程。</x:v>
      </x:c>
    </x:row>
    <x:row r="19" ht="72" customHeight="1">
      <x:c r="A19" s="66" t="str">
        <x:v>C-018</x:v>
      </x:c>
      <x:c r="B19" s="64" t="str">
        <x:f>'Public_Cases'!B19</x:f>
        <x:v>GitHub Issue</x:v>
      </x:c>
      <x:c r="C19" s="64" t="str">
        <x:f>'Public_Cases'!C19</x:f>
        <x:v>facebookresearch/detectron2</x:v>
      </x:c>
      <x:c r="D19" s="64" t="str">
        <x:f>'Public_Cases'!E19</x:f>
        <x:v>https://github.com/facebookresearch/detectron2/issues/788</x:v>
      </x:c>
      <x:c r="E19" s="68" t="n">
        <x:v>43863</x:v>
      </x:c>
      <x:c r="F19" s="68" t="n">
        <x:f>'Public_Cases'!F19</x:f>
        <x:v>46239</x:v>
      </x:c>
      <x:c r="G19" s="64" t="str">
        <x:f>'Public_Cases'!H19</x:f>
        <x:v>带 EXIF 方向标记的图片经 Pillow 转置后，尺寸与 VIA 标注记录不一致，触发 SizeMismatchError。</x:v>
      </x:c>
      <x:c r="H19" s="66" t="str">
        <x:v>是</x:v>
      </x:c>
      <x:c r="I19" s="66" t="str">
        <x:v>充分</x:v>
      </x:c>
      <x:c r="J19" s="66" t="str">
        <x:v>强</x:v>
      </x:c>
      <x:c r="K19" s="66"/>
      <x:c r="L19" s="66" t="str">
        <x:v>否</x:v>
      </x:c>
      <x:c r="M19" s="66" t="str">
        <x:v>通过</x:v>
      </x:c>
      <x:c r="N19" s="66" t="str">
        <x:v>通过</x:v>
      </x:c>
      <x:c r="O19" s="64" t="str">
        <x:v>原页于2026-08-07复核可访问；有SizeMismatchError、EXIF/Pillow背景及可用读取绕行。与C-016为不同Issue和事件。</x:v>
      </x:c>
    </x:row>
    <x:row r="20" ht="72" customHeight="1">
      <x:c r="A20" s="66" t="str">
        <x:v>C-019</x:v>
      </x:c>
      <x:c r="B20" s="64" t="str">
        <x:f>'Public_Cases'!B20</x:f>
        <x:v>GitHub Issue</x:v>
      </x:c>
      <x:c r="C20" s="64" t="str">
        <x:f>'Public_Cases'!C20</x:f>
        <x:v>facebookresearch/detectron2</x:v>
      </x:c>
      <x:c r="D20" s="64" t="str">
        <x:f>'Public_Cases'!E20</x:f>
        <x:v>https://github.com/facebookresearch/detectron2/issues/2090</x:v>
      </x:c>
      <x:c r="E20" s="68" t="n">
        <x:v>44106</x:v>
      </x:c>
      <x:c r="F20" s="68" t="n">
        <x:f>'Public_Cases'!F20</x:f>
        <x:v>46239</x:v>
      </x:c>
      <x:c r="G20" s="64" t="str">
        <x:f>'Public_Cases'!H20</x:f>
        <x:v>通过 pip 从源码安装 Detectron2 时发生 C++/NVCC 编译错误。</x:v>
      </x:c>
      <x:c r="H20" s="66" t="str">
        <x:v>是</x:v>
      </x:c>
      <x:c r="I20" s="66" t="str">
        <x:v>充分</x:v>
      </x:c>
      <x:c r="J20" s="66" t="str">
        <x:v>强</x:v>
      </x:c>
      <x:c r="K20" s="66"/>
      <x:c r="L20" s="66" t="str">
        <x:v>否</x:v>
      </x:c>
      <x:c r="M20" s="66" t="str">
        <x:v>通过</x:v>
      </x:c>
      <x:c r="N20" s="66" t="str">
        <x:v>通过</x:v>
      </x:c>
      <x:c r="O20" s="64" t="str">
        <x:v>原页于2026-08-07复核可访问；有C++/NVCC编译报错、CUDA/GCC版本背景和成功组合记录。</x:v>
      </x:c>
    </x:row>
    <x:row r="21" ht="72" customHeight="1">
      <x:c r="A21" s="67" t="str">
        <x:v>C-020</x:v>
      </x:c>
      <x:c r="B21" s="65" t="str">
        <x:f>'Public_Cases'!B21</x:f>
        <x:v>GitHub Issue</x:v>
      </x:c>
      <x:c r="C21" s="65" t="str">
        <x:f>'Public_Cases'!C21</x:f>
        <x:v>facebookresearch/detectron2</x:v>
      </x:c>
      <x:c r="D21" s="65" t="str">
        <x:f>'Public_Cases'!E21</x:f>
        <x:v>https://github.com/facebookresearch/detectron2/issues/810</x:v>
      </x:c>
      <x:c r="E21" s="69" t="n">
        <x:v>43866</x:v>
      </x:c>
      <x:c r="F21" s="69" t="n">
        <x:f>'Public_Cases'!F21</x:f>
        <x:v>46239</x:v>
      </x:c>
      <x:c r="G21" s="65" t="str">
        <x:f>'Public_Cases'!H21</x:f>
        <x:v>自定义 Hook 使用默认测试 DataLoader 计算验证损失时缺少 ground truth，切换 loader 后又因调用方式错误失败。</x:v>
      </x:c>
      <x:c r="H21" s="67" t="str">
        <x:v>是</x:v>
      </x:c>
      <x:c r="I21" s="67" t="str">
        <x:v>充分</x:v>
      </x:c>
      <x:c r="J21" s="67" t="str">
        <x:v>强</x:v>
      </x:c>
      <x:c r="K21" s="67"/>
      <x:c r="L21" s="67" t="str">
        <x:v>否</x:v>
      </x:c>
      <x:c r="M21" s="67" t="str">
        <x:v>通过</x:v>
      </x:c>
      <x:c r="N21" s="67" t="str">
        <x:v>通过</x:v>
      </x:c>
      <x:c r="O21" s="65" t="str">
        <x:v>原页于2026-08-07复核可访问；有验证损失DataLoader问题、mapper配置解释及用户确认。</x:v>
      </x:c>
    </x:row>
  </x:sheetData>
  <x:conditionalFormatting sqref="A2:A21">
    <x:cfRule type="expression" dxfId="0" priority="1">
      <x:formula>COUNTIF($A$2:$A$21,A2)&gt;1</x:formula>
    </x:cfRule>
  </x:conditionalFormatting>
  <x:conditionalFormatting sqref="N2:N21">
    <x:cfRule type="containsText" dxfId="1" priority="2" operator="containsText" text="通过"/>
    <x:cfRule type="containsText" dxfId="2" priority="3" operator="containsText" text="降级为线索"/>
    <x:cfRule type="containsText" dxfId="3" priority="4" operator="containsText" text="关联重复"/>
    <x:cfRule type="containsText" dxfId="4" priority="5" operator="containsText" text="来源失效"/>
    <x:cfRule type="containsText" dxfId="5" priority="6" operator="containsText" text="待复核"/>
  </x:conditionalFormatting>
  <x:dataValidations count="5">
    <x:dataValidation type="list" sqref="H2:H21">
      <x:formula1>"是,否"</x:formula1>
    </x:dataValidation>
    <x:dataValidation type="list" sqref="I2:I21">
      <x:formula1>"充分,部分充分,不足"</x:formula1>
    </x:dataValidation>
    <x:dataValidation type="list" sqref="L2:L21">
      <x:formula1>"否,主案例,关联重复"</x:formula1>
    </x:dataValidation>
    <x:dataValidation type="list" sqref="M2:M21">
      <x:formula1>"通过,需脱敏"</x:formula1>
    </x:dataValidation>
    <x:dataValidation type="list" sqref="N2:N21">
      <x:formula1>"通过,降级为线索,关联重复,来源失效,待复核"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164f93bdc644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5" hidden="0" customWidth="1"/>
    <x:col min="3" max="3" width="25" hidden="0" customWidth="1"/>
    <x:col min="4" max="4" width="34" hidden="0" customWidth="1"/>
    <x:col min="5" max="5" width="56" hidden="0" customWidth="1"/>
    <x:col min="6" max="6" width="42" hidden="0" customWidth="1"/>
    <x:col min="7" max="7" width="15" hidden="0" customWidth="1"/>
    <x:col min="8" max="8" width="50" hidden="0" customWidth="1"/>
    <x:col min="9" max="9" width="28" hidden="0" customWidth="1"/>
    <x:col min="10" max="10" width="13" hidden="0" customWidth="1"/>
    <x:col min="11" max="11" width="56" hidden="0" customWidth="1"/>
    <x:col min="12" max="12" width="48" hidden="0" customWidth="1"/>
  </x:cols>
  <x:sheetData>
    <x:row r="1" ht="36" customHeight="1">
      <x:c r="A1" s="75" t="str">
        <x:v>Case_ID</x:v>
      </x:c>
      <x:c r="B1" s="75" t="str">
        <x:v>来源与日期</x:v>
      </x:c>
      <x:c r="C1" s="75" t="str">
        <x:v>发生阶段</x:v>
      </x:c>
      <x:c r="D1" s="75" t="str">
        <x:v>问题类别</x:v>
      </x:c>
      <x:c r="E1" s="75" t="str">
        <x:v>事实摘要</x:v>
      </x:c>
      <x:c r="F1" s="75" t="str">
        <x:v>影响</x:v>
      </x:c>
      <x:c r="G1" s="75" t="str">
        <x:v>可提前发现性</x:v>
      </x:c>
      <x:c r="H1" s="75" t="str">
        <x:v>可提前发现依据</x:v>
      </x:c>
      <x:c r="I1" s="75" t="str">
        <x:v>三类诊断覆盖</x:v>
      </x:c>
      <x:c r="J1" s="75" t="str">
        <x:v>证据强度</x:v>
      </x:c>
      <x:c r="K1" s="75" t="str">
        <x:v>产品机会_推断</x:v>
      </x:c>
      <x:c r="L1" s="75" t="str">
        <x:v>编码备注</x:v>
      </x:c>
    </x:row>
    <x:row r="2" ht="90" customHeight="1">
      <x:c r="A2" s="66" t="str">
        <x:v>C-001</x:v>
      </x:c>
      <x:c r="B2" s="64" t="str">
        <x:v>GitHub Issue｜SCLBD/DeepfakeBench #110｜发布 2024-09-28｜访问 2026-08-05｜https://github.com/SCLBD/DeepfakeBench/issues/110</x:v>
      </x:c>
      <x:c r="C2" s="66" t="str">
        <x:v>训练或推理</x:v>
      </x:c>
      <x:c r="D2" s="66" t="str">
        <x:v>路径与数据</x:v>
      </x:c>
      <x:c r="E2" s="64" t="str">
        <x:v>用户按README命令启动Xception训练时发生图片加载错误；配置中lmdb=true，而输入路径指向PNG原图。</x:v>
      </x:c>
      <x:c r="F2" s="66" t="str">
        <x:v>阻塞运行</x:v>
      </x:c>
      <x:c r="G2" s="66" t="str">
        <x:v>是</x:v>
      </x:c>
      <x:c r="H2" s="66" t="str">
        <x:v>依据：运行前核对输入文件类型、数据存储格式与lmdb开关，可直接发现PNG原图与LMDB读取模式冲突。</x:v>
      </x:c>
      <x:c r="I2" s="66" t="str">
        <x:v>路径/数据</x:v>
      </x:c>
      <x:c r="J2" s="66" t="str">
        <x:v>强</x:v>
      </x:c>
      <x:c r="K2" s="64" t="str">
        <x:v>【产品推断】准备度检查可交叉核验数据后端配置与抽样文件类型，在 lmdb=true 但发现 PNG/JPEG 路径时给出阻塞告警。</x:v>
      </x:c>
      <x:c r="L2" s="64" t="str">
        <x:v>H5主覆盖：路径/数据。读取模式与实际输入格式冲突可由路径/数据诊断承接。</x:v>
      </x:c>
    </x:row>
    <x:row r="3" ht="90" customHeight="1">
      <x:c r="A3" s="66" t="str">
        <x:v>C-002</x:v>
      </x:c>
      <x:c r="B3" s="64" t="str">
        <x:v>GitHub Issue｜SCLBD/DeepfakeBench #13｜发布 2023-07-27｜访问 2026-08-05｜https://github.com/SCLBD/DeepfakeBench/issues/13</x:v>
      </x:c>
      <x:c r="C3" s="66" t="str">
        <x:v>数据准备</x:v>
      </x:c>
      <x:c r="D3" s="66" t="str">
        <x:v>资产缺失</x:v>
      </x:c>
      <x:c r="E3" s="64" t="str">
        <x:v>用户报告DFDCP数据包缺少method_B视频，相关数据集还缺少测试列表、dataset.json条目或metadata.json。</x:v>
      </x:c>
      <x:c r="F3" s="66" t="str">
        <x:v>阻塞运行</x:v>
      </x:c>
      <x:c r="G3" s="66" t="str">
        <x:v>是</x:v>
      </x:c>
      <x:c r="H3" s="66" t="str">
        <x:v>依据：下载后对照README或资产清单检查目录、文件数、索引和metadata，可在预处理前发现缺失。</x:v>
      </x:c>
      <x:c r="I3" s="66" t="str">
        <x:v>路径/数据</x:v>
      </x:c>
      <x:c r="J3" s="66" t="str">
        <x:v>强</x:v>
      </x:c>
      <x:c r="K3" s="64" t="str">
        <x:v>【产品推断】生成数据资产清单，对目录、压缩包、JSON/metadata 引用做完整性和可达性校验，并区分文件缺失、索引缺失与链接受限。</x:v>
      </x:c>
      <x:c r="L3" s="64" t="str">
        <x:v>H5主覆盖：路径/数据。虽属资产缺失，但数据文件、索引和metadata完整性可由路径/数据诊断承接。</x:v>
      </x:c>
    </x:row>
    <x:row r="4" ht="90" customHeight="1">
      <x:c r="A4" s="66" t="str">
        <x:v>C-003</x:v>
      </x:c>
      <x:c r="B4" s="64" t="str">
        <x:v>GitHub Issue｜SCLBD/DeepfakeBench #79｜发布 2024-06-10｜访问 2026-08-05｜https://github.com/SCLBD/DeepfakeBench/issues/79</x:v>
      </x:c>
      <x:c r="C4" s="66" t="str">
        <x:v>训练或推理</x:v>
      </x:c>
      <x:c r="D4" s="66" t="str">
        <x:v>checkpoint与配置</x:v>
      </x:c>
      <x:c r="E4" s="64" t="str">
        <x:v>加载发布的EfficientNetB4检测器权重时出现Missing/Unexpected key(s) in state_dict，并存在backbone.、resnet.等键名前缀差异。</x:v>
      </x:c>
      <x:c r="F4" s="66" t="str">
        <x:v>阻塞运行</x:v>
      </x:c>
      <x:c r="G4" s="66" t="str">
        <x:v>部分</x:v>
      </x:c>
      <x:c r="H4" s="66" t="str">
        <x:v>依据：加载前可比较checkpoint键名、张量形状和当前模型state_dict；正确迁移策略仍需结合模型代码确认。</x:v>
      </x:c>
      <x:c r="I4" s="66" t="str">
        <x:v>checkpoint/配置</x:v>
      </x:c>
      <x:c r="J4" s="66" t="str">
        <x:v>强</x:v>
      </x:c>
      <x:c r="K4" s="64" t="str">
        <x:v>【产品推断】权重兼容性检查可生成键名/形状差异报告，识别系统性前缀差异，并区分 backbone 权重与完整 detector 权重。</x:v>
      </x:c>
      <x:c r="L4" s="64" t="str">
        <x:v>H5主覆盖：checkpoint/配置。权重键名与模型初始化配置不匹配。</x:v>
      </x:c>
    </x:row>
    <x:row r="5" ht="90" customHeight="1">
      <x:c r="A5" s="66" t="str">
        <x:v>C-004</x:v>
      </x:c>
      <x:c r="B5" s="64" t="str">
        <x:v>GitHub Issue 回复链｜SCLBD/DeepfakeBench #109｜发布 2024-09-27｜访问 2026-08-05｜https://github.com/SCLBD/DeepfakeBench/issues/109</x:v>
      </x:c>
      <x:c r="C5" s="66" t="str">
        <x:v>评测</x:v>
      </x:c>
      <x:c r="D5" s="66" t="str">
        <x:v>算力</x:v>
      </x:c>
      <x:c r="E5" s="64" t="str">
        <x:v>用户使用约90GB内存评测DFDC等大数据集时仍发生内存溢出，进程被系统终止；移除feature list相关内容后完成测试。</x:v>
      </x:c>
      <x:c r="F5" s="66" t="str">
        <x:v>阻塞运行</x:v>
      </x:c>
      <x:c r="G5" s="66" t="str">
        <x:v>部分</x:v>
      </x:c>
      <x:c r="H5" s="66" t="str">
        <x:v>依据：可静态识别按样本持续累计高维特征，并估算缓存内存；实际峰值仍受样本规模和运行实现影响。</x:v>
      </x:c>
      <x:c r="I5" s="66" t="str">
        <x:v>未覆盖</x:v>
      </x:c>
      <x:c r="J5" s="66" t="str">
        <x:v>强</x:v>
      </x:c>
      <x:c r="K5" s="64" t="str">
        <x:v>【产品推断】资源估算器可识别无界结果累积，估算特征缓存体积，并建议流式写盘、关闭非必要特征保存或只保留聚合指标。</x:v>
      </x:c>
      <x:c r="L5" s="64" t="str">
        <x:v>H5主覆盖：未覆盖。核心问题是评测阶段特征缓存造成的内存风险，首版三类诊断不直接承接。</x:v>
      </x:c>
    </x:row>
    <x:row r="6" ht="90" customHeight="1">
      <x:c r="A6" s="66" t="str">
        <x:v>C-005</x:v>
      </x:c>
      <x:c r="B6" s="64" t="str">
        <x:v>GitHub Issue｜SCLBD/DeepfakeBench #66｜发布 2024-05-11｜访问 2026-08-05｜https://github.com/SCLBD/DeepfakeBench/issues/66</x:v>
      </x:c>
      <x:c r="C6" s="66" t="str">
        <x:v>训练或推理</x:v>
      </x:c>
      <x:c r="D6" s="66" t="str">
        <x:v>路径与数据</x:v>
      </x:c>
      <x:c r="E6" s="64" t="str">
        <x:v>LSDA训练反复出现list index out of range和maximum recursion depth exceeded；回复中报告部分视频缺失或抽帧不足32帧。</x:v>
      </x:c>
      <x:c r="F6" s="66" t="str">
        <x:v>阻塞运行</x:v>
      </x:c>
      <x:c r="G6" s="66" t="str">
        <x:v>是</x:v>
      </x:c>
      <x:c r="H6" s="66" t="str">
        <x:v>依据：训练前检查JSON引用文件和每个视频实际帧数，可发现缺失文件或帧数不足。</x:v>
      </x:c>
      <x:c r="I6" s="66" t="str">
        <x:v>路径/数据</x:v>
      </x:c>
      <x:c r="J6" s="66" t="str">
        <x:v>强</x:v>
      </x:c>
      <x:c r="K6" s="64" t="str">
        <x:v>【产品推断】逐项核验索引、视频/帧目录和最小帧数；同时识别数据加载器的递归重试模式，提示坏样本可能被放大为栈溢出。</x:v>
      </x:c>
      <x:c r="L6" s="64" t="str">
        <x:v>H5主覆盖：路径/数据。缺失视频或帧数不足可由数据完整性检查承接。</x:v>
      </x:c>
    </x:row>
    <x:row r="7" ht="90" customHeight="1">
      <x:c r="A7" s="66" t="str">
        <x:v>C-006</x:v>
      </x:c>
      <x:c r="B7" s="64" t="str">
        <x:v>GitHub Issue｜SCLBD/DeepfakeBench #68｜发布 2024-05-14｜访问 2026-08-05｜https://github.com/SCLBD/DeepfakeBench/issues/68</x:v>
      </x:c>
      <x:c r="C7" s="66" t="str">
        <x:v>训练或推理</x:v>
      </x:c>
      <x:c r="D7" s="66" t="str">
        <x:v>环境依赖</x:v>
      </x:c>
      <x:c r="E7" s="64" t="str">
        <x:v>SBI数据增强生成掩膜时出现二维数组按三维索引错误，另有图像对象为None的类型错误。</x:v>
      </x:c>
      <x:c r="F7" s="66" t="str">
        <x:v>阻塞运行</x:v>
      </x:c>
      <x:c r="G7" s="66" t="str">
        <x:v>部分</x:v>
      </x:c>
      <x:c r="H7" s="66" t="str">
        <x:v>依据：运行前可用少量样本执行增强管线冒烟测试，但不同环境下的具体形状或内存异常仍需运行确认。</x:v>
      </x:c>
      <x:c r="I7" s="66" t="str">
        <x:v>环境</x:v>
      </x:c>
      <x:c r="J7" s="66" t="str">
        <x:v>强</x:v>
      </x:c>
      <x:c r="K7" s="64" t="str">
        <x:v>【产品推断】在正式训练前自动运行增强管线样本测试，并检查关键张量的形状、类型与版本差异。</x:v>
      </x:c>
      <x:c r="L7" s="64" t="str">
        <x:v>H5主覆盖：环境。增强代码与依赖返回形状不兼容；原始报错和公开回复明确。</x:v>
      </x:c>
    </x:row>
    <x:row r="8" ht="90" customHeight="1">
      <x:c r="A8" s="66" t="str">
        <x:v>C-007</x:v>
      </x:c>
      <x:c r="B8" s="64" t="str">
        <x:v>GitHub Issue｜open-mmlab/mmaction2 #806｜发布 2021-04-13｜访问 2026-08-05｜https://github.com/open-mmlab/mmaction2/issues/806</x:v>
      </x:c>
      <x:c r="C8" s="66" t="str">
        <x:v>数据准备</x:v>
      </x:c>
      <x:c r="D8" s="66" t="str">
        <x:v>路径与数据</x:v>
      </x:c>
      <x:c r="E8" s="64" t="str">
        <x:v>生成AVA long-term feature bank时读取不存在的帧文件，部分视频实际抽取帧数低于流程预期。</x:v>
      </x:c>
      <x:c r="F8" s="66" t="str">
        <x:v>阻塞运行</x:v>
      </x:c>
      <x:c r="G8" s="66" t="str">
        <x:v>是</x:v>
      </x:c>
      <x:c r="H8" s="66" t="str">
        <x:v>依据：任务启动前可核对视频时长、帧率、预期帧数与实际落盘文件数。</x:v>
      </x:c>
      <x:c r="I8" s="66" t="str">
        <x:v>路径/数据</x:v>
      </x:c>
      <x:c r="J8" s="66" t="str">
        <x:v>强</x:v>
      </x:c>
      <x:c r="K8" s="64" t="str">
        <x:v>【产品推断】提供视频帧完整性清单，自动比较标注时间范围、预期帧数与实际文件数。</x:v>
      </x:c>
      <x:c r="L8" s="64" t="str">
        <x:v>H5主覆盖：路径/数据。抽帧数量与预期不一致可由数据完整性检查承接。</x:v>
      </x:c>
    </x:row>
    <x:row r="9" ht="90" customHeight="1">
      <x:c r="A9" s="66" t="str">
        <x:v>C-008</x:v>
      </x:c>
      <x:c r="B9" s="64" t="str">
        <x:v>GitHub Issue｜open-mmlab/mmaction2 #904｜发布 2021-06-04｜访问 2026-08-05｜https://github.com/open-mmlab/mmaction2/issues/904</x:v>
      </x:c>
      <x:c r="C9" s="66" t="str">
        <x:v>训练或推理</x:v>
      </x:c>
      <x:c r="D9" s="66" t="str">
        <x:v>其他</x:v>
      </x:c>
      <x:c r="E9" s="64" t="str">
        <x:v>对光流帧执行单视频推理时，工具请求不存在的帧文件；按光流文件对数修正总帧数后，用户确认修复方向有效。</x:v>
      </x:c>
      <x:c r="F9" s="66" t="str">
        <x:v>阻塞运行</x:v>
      </x:c>
      <x:c r="G9" s="66" t="str">
        <x:v>是</x:v>
      </x:c>
      <x:c r="H9" s="66" t="str">
        <x:v>依据：读取输入目录后按光流模态核对x/y文件对数、命名规则和最大索引即可发现。</x:v>
      </x:c>
      <x:c r="I9" s="66" t="str">
        <x:v>路径/数据</x:v>
      </x:c>
      <x:c r="J9" s="66" t="str">
        <x:v>强</x:v>
      </x:c>
      <x:c r="K9" s="64" t="str">
        <x:v>【产品推断】输入检查器应识别 RGB 与光流模态，按真实文件模式计算有效帧数而非沿用统一逻辑。</x:v>
      </x:c>
      <x:c r="L9" s="64" t="str">
        <x:v>H5主覆盖：路径/数据。虽然问题类别为其他，但输入文件对数、命名和索引检查可承接主要异常。</x:v>
      </x:c>
    </x:row>
    <x:row r="10" ht="90" customHeight="1">
      <x:c r="A10" s="66" t="str">
        <x:v>C-009</x:v>
      </x:c>
      <x:c r="B10" s="64" t="str">
        <x:v>GitHub Issue｜open-mmlab/mmaction2 #421｜发布 2020-12-06｜访问 2026-08-05｜https://github.com/open-mmlab/mmaction2/issues/421</x:v>
      </x:c>
      <x:c r="C10" s="66" t="str">
        <x:v>训练或推理</x:v>
      </x:c>
      <x:c r="D10" s="66" t="str">
        <x:v>算力</x:v>
      </x:c>
      <x:c r="E10" s="64" t="str">
        <x:v>单GPU训练停在数据加载阶段；将workers_per_gpu设为0后恢复运行，回复将问题指向多进程共享内存不足。</x:v>
      </x:c>
      <x:c r="F10" s="66" t="str">
        <x:v>阻塞运行</x:v>
      </x:c>
      <x:c r="G10" s="66" t="str">
        <x:v>部分</x:v>
      </x:c>
      <x:c r="H10" s="66" t="str">
        <x:v>依据：可预先检查共享内存大小并结合worker数和样本体积估算风险，但是否挂起仍受运行环境影响。</x:v>
      </x:c>
      <x:c r="I10" s="66" t="str">
        <x:v>未覆盖</x:v>
      </x:c>
      <x:c r="J10" s="66" t="str">
        <x:v>中</x:v>
      </x:c>
      <x:c r="K10" s="64" t="str">
        <x:v>【产品推断】启动前检查 `/dev/shm`、worker 数和 batch 配置，并给出安全初始值。</x:v>
      </x:c>
      <x:c r="L10" s="64" t="str">
        <x:v>H5主覆盖：未覆盖。核心问题是共享内存/worker资源条件；有完整过程与回复，但缺少明确原始报错日志，证据强度记为中。</x:v>
      </x:c>
    </x:row>
    <x:row r="11" ht="90" customHeight="1">
      <x:c r="A11" s="66" t="str">
        <x:v>C-010</x:v>
      </x:c>
      <x:c r="B11" s="64" t="str">
        <x:v>GitHub Issue｜open-mmlab/mmaction2 #670｜发布 2021-03-03｜访问 2026-08-05｜https://github.com/open-mmlab/mmaction2/issues/670</x:v>
      </x:c>
      <x:c r="C11" s="66" t="str">
        <x:v>训练或推理</x:v>
      </x:c>
      <x:c r="D11" s="66" t="str">
        <x:v>checkpoint与配置</x:v>
      </x:c>
      <x:c r="E11" s="64" t="str">
        <x:v>自定义AVA数据训练SlowFast时，时间维度经采样后变为0；增大clip length后又出现CUDA显存不足。</x:v>
      </x:c>
      <x:c r="F11" s="66" t="str">
        <x:v>阻塞运行</x:v>
      </x:c>
      <x:c r="G11" s="66" t="str">
        <x:v>部分</x:v>
      </x:c>
      <x:c r="H11" s="66" t="str">
        <x:v>依据：可静态计算clip length、resample rate和speed ratio下的时间维度并估算显存，实际峰值仍需运行验证。</x:v>
      </x:c>
      <x:c r="I11" s="66" t="str">
        <x:v>checkpoint/配置</x:v>
      </x:c>
      <x:c r="J11" s="66" t="str">
        <x:v>强</x:v>
      </x:c>
      <x:c r="K11" s="64" t="str">
        <x:v>【产品推断】配置检查器可联动验证时间维度、类别数和显存预算，提前提示相互冲突的参数。</x:v>
      </x:c>
      <x:c r="L11" s="64" t="str">
        <x:v>H5主覆盖：checkpoint/配置。时间采样参数及显存相关配置相互约束。</x:v>
      </x:c>
    </x:row>
    <x:row r="12" ht="90" customHeight="1">
      <x:c r="A12" s="66" t="str">
        <x:v>C-011</x:v>
      </x:c>
      <x:c r="B12" s="64" t="str">
        <x:v>GitHub Issue｜open-mmlab/mmaction2 #414｜发布 2020-12-03｜访问 2026-08-05｜https://github.com/open-mmlab/mmaction2/issues/414</x:v>
      </x:c>
      <x:c r="C12" s="66" t="str">
        <x:v>其他</x:v>
      </x:c>
      <x:c r="D12" s="66" t="str">
        <x:v>环境依赖</x:v>
      </x:c>
      <x:c r="E12" s="64" t="str">
        <x:v>模型已导出并通过ONNX验证，但TensorRT转换因PyTorch 1.7生成不受支持的ONNX If节点而失败；降级后完成转换。</x:v>
      </x:c>
      <x:c r="F12" s="66" t="str">
        <x:v>阻塞运行</x:v>
      </x:c>
      <x:c r="G12" s="66" t="str">
        <x:v>是</x:v>
      </x:c>
      <x:c r="H12" s="66" t="str">
        <x:v>依据：导出前可核对PyTorch、ONNX opset、TensorRT版本及已知不支持算子。</x:v>
      </x:c>
      <x:c r="I12" s="66" t="str">
        <x:v>环境</x:v>
      </x:c>
      <x:c r="J12" s="66" t="str">
        <x:v>强</x:v>
      </x:c>
      <x:c r="K12" s="64" t="str">
        <x:v>【产品推断】维护转换兼容矩阵，并在导出前扫描可能产生的不支持控制流算子。</x:v>
      </x:c>
      <x:c r="L12" s="64" t="str">
        <x:v>H5主覆盖：环境。PyTorch、ONNX和TensorRT版本/算子兼容问题。</x:v>
      </x:c>
    </x:row>
    <x:row r="13" ht="90" customHeight="1">
      <x:c r="A13" s="66" t="str">
        <x:v>C-012</x:v>
      </x:c>
      <x:c r="B13" s="64" t="str">
        <x:v>GitHub Issue｜open-mmlab/mmaction2 #732｜发布 2021-03-16｜访问 2026-08-05｜https://github.com/open-mmlab/mmaction2/issues/732</x:v>
      </x:c>
      <x:c r="C13" s="66" t="str">
        <x:v>评测</x:v>
      </x:c>
      <x:c r="D13" s="66" t="str">
        <x:v>checkpoint与配置</x:v>
      </x:c>
      <x:c r="E13" s="64" t="str">
        <x:v>自定义SlowFast训练多轮后mAP仍为0，同时出现类别数断言和显存约束；公开讨论未记录最终成功结果。</x:v>
      </x:c>
      <x:c r="F13" s="66" t="str">
        <x:v>结果偏差</x:v>
      </x:c>
      <x:c r="G13" s="66" t="str">
        <x:v>部分</x:v>
      </x:c>
      <x:c r="H13" s="66" t="str">
        <x:v>依据：运行前可检查类别映射、clip配置、batch和学习率，但mAP是否持续为0仍需短程训练或过拟合测试确认。</x:v>
      </x:c>
      <x:c r="I13" s="66" t="str">
        <x:v>checkpoint/配置</x:v>
      </x:c>
      <x:c r="J13" s="66" t="str">
        <x:v>强</x:v>
      </x:c>
      <x:c r="K13" s="64" t="str">
        <x:v>【产品推断】提供小样本过拟合与早期指标守门，在 mAP 长期为 0 时自动检查类别映射和关键训练参数。</x:v>
      </x:c>
      <x:c r="L13" s="64" t="str">
        <x:v>H5主覆盖：checkpoint/配置。类别、clip、batch与学习率配置共同影响结果。</x:v>
      </x:c>
    </x:row>
    <x:row r="14" ht="90" customHeight="1">
      <x:c r="A14" s="66" t="str">
        <x:v>C-013</x:v>
      </x:c>
      <x:c r="B14" s="64" t="str">
        <x:v>GitHub Issue｜facebookresearch/detectron2 #4354｜发布 2022-06-23｜访问 2026-08-05｜https://github.com/facebookresearch/detectron2/issues/4354</x:v>
      </x:c>
      <x:c r="C14" s="66" t="str">
        <x:v>其他</x:v>
      </x:c>
      <x:c r="D14" s="66" t="str">
        <x:v>环境依赖</x:v>
      </x:c>
      <x:c r="E14" s="64" t="str">
        <x:v>按公开命令导出全景分割模型时，无法从detectron2.export导入Caffe2Tracer；原作者表示问题未解决。</x:v>
      </x:c>
      <x:c r="F14" s="66" t="str">
        <x:v>阻塞运行</x:v>
      </x:c>
      <x:c r="G14" s="66" t="str">
        <x:v>是</x:v>
      </x:c>
      <x:c r="H14" s="66" t="str">
        <x:v>依据：执行前可检查已安装版本是否包含文档引用的Caffe2Tracer及相关依赖。</x:v>
      </x:c>
      <x:c r="I14" s="66" t="str">
        <x:v>环境</x:v>
      </x:c>
      <x:c r="J14" s="66" t="str">
        <x:v>强</x:v>
      </x:c>
      <x:c r="K14" s="64" t="str">
        <x:v>【产品推断】将文档命令与已安装包 API 做预检，并标注尚未发布或已移除的接口。</x:v>
      </x:c>
      <x:c r="L14" s="64" t="str">
        <x:v>H5主覆盖：环境。安装版本缺少文档引用API，可由环境/API兼容检查承接。</x:v>
      </x:c>
    </x:row>
    <x:row r="15" ht="90" customHeight="1">
      <x:c r="A15" s="66" t="str">
        <x:v>C-014</x:v>
      </x:c>
      <x:c r="B15" s="64" t="str">
        <x:v>GitHub Issue｜facebookresearch/detectron2 #4487｜发布 2022-08-18｜访问 2026-08-05｜https://github.com/facebookresearch/detectron2/issues/4487</x:v>
      </x:c>
      <x:c r="C15" s="66" t="str">
        <x:v>环境配置</x:v>
      </x:c>
      <x:c r="D15" s="66" t="str">
        <x:v>环境依赖</x:v>
      </x:c>
      <x:c r="E15" s="64" t="str">
        <x:v>官方Colab示例运行时无法从torch.fx._symbolic_trace导入is_fx_tracing；社区通过匹配版本或临时修改恢复运行。</x:v>
      </x:c>
      <x:c r="F15" s="66" t="str">
        <x:v>阻塞运行</x:v>
      </x:c>
      <x:c r="G15" s="66" t="str">
        <x:v>是</x:v>
      </x:c>
      <x:c r="H15" s="66" t="str">
        <x:v>依据：可按兼容矩阵核对PyTorch与Detectron2版本，并在启动前执行导入测试。</x:v>
      </x:c>
      <x:c r="I15" s="66" t="str">
        <x:v>环境</x:v>
      </x:c>
      <x:c r="J15" s="66" t="str">
        <x:v>强</x:v>
      </x:c>
      <x:c r="K15" s="64" t="str">
        <x:v>【产品推断】环境解析器应识别内部 API 依赖，推荐经过验证的版本组合而非仅检查包是否安装。</x:v>
      </x:c>
      <x:c r="L15" s="64" t="str">
        <x:v>H5主覆盖：环境。Detectron2与PyTorch内部API版本不兼容。</x:v>
      </x:c>
    </x:row>
    <x:row r="16" ht="90" customHeight="1">
      <x:c r="A16" s="66" t="str">
        <x:v>C-015</x:v>
      </x:c>
      <x:c r="B16" s="64" t="str">
        <x:v>GitHub Issue｜facebookresearch/detectron2 #1018｜发布 2020-03-10｜访问 2026-08-05｜https://github.com/facebookresearch/detectron2/issues/1018</x:v>
      </x:c>
      <x:c r="C16" s="66" t="str">
        <x:v>环境配置</x:v>
      </x:c>
      <x:c r="D16" s="66" t="str">
        <x:v>环境依赖</x:v>
      </x:c>
      <x:c r="E16" s="64" t="str">
        <x:v>运行PointRend或DensePose示例时无法导入Detectron2编译扩展_C；源码目录中的未编译包遮蔽了已安装包。</x:v>
      </x:c>
      <x:c r="F16" s="66" t="str">
        <x:v>阻塞运行</x:v>
      </x:c>
      <x:c r="G16" s="66" t="str">
        <x:v>是</x:v>
      </x:c>
      <x:c r="H16" s="66" t="str">
        <x:v>依据：可在启动前检查当前工作目录、模块实际导入路径和编译扩展文件是否存在。</x:v>
      </x:c>
      <x:c r="I16" s="66" t="str">
        <x:v>环境</x:v>
      </x:c>
      <x:c r="J16" s="66" t="str">
        <x:v>强</x:v>
      </x:c>
      <x:c r="K16" s="64" t="str">
        <x:v>【产品推断】启动诊断应打印模块真实加载路径，并检测源码目录遮蔽已安装包的情况。</x:v>
      </x:c>
      <x:c r="L16" s="64" t="str">
        <x:v>H5主覆盖：环境。实际导入路径与编译扩展状态属于环境检查。</x:v>
      </x:c>
    </x:row>
    <x:row r="17" ht="90" customHeight="1">
      <x:c r="A17" s="66" t="str">
        <x:v>C-016</x:v>
      </x:c>
      <x:c r="B17" s="64" t="str">
        <x:v>GitHub Issue｜facebookresearch/detectron2 #863｜发布 2020-02-13｜访问 2026-08-05｜https://github.com/facebookresearch/detectron2/issues/863</x:v>
      </x:c>
      <x:c r="C17" s="66" t="str">
        <x:v>训练或推理</x:v>
      </x:c>
      <x:c r="D17" s="66" t="str">
        <x:v>路径与数据</x:v>
      </x:c>
      <x:c r="E17" s="64" t="str">
        <x:v>读取带EXIF方向信息的手机图片后，解码尺寸与COCO标注宽高不一致，训练读取该图片时触发尺寸不匹配。</x:v>
      </x:c>
      <x:c r="F17" s="66" t="str">
        <x:v>阻塞运行</x:v>
      </x:c>
      <x:c r="G17" s="66" t="str">
        <x:v>是</x:v>
      </x:c>
      <x:c r="H17" s="66" t="str">
        <x:v>依据：数据导入时可应用或移除EXIF方向，并比较标注宽高与解码后尺寸。</x:v>
      </x:c>
      <x:c r="I17" s="66" t="str">
        <x:v>路径/数据</x:v>
      </x:c>
      <x:c r="J17" s="66" t="str">
        <x:v>强</x:v>
      </x:c>
      <x:c r="K17" s="64" t="str">
        <x:v>【产品推断】数据体检应规范化 EXIF，并在标注入库前验证坐标系与实际像素尺寸一致。</x:v>
      </x:c>
      <x:c r="L17" s="64" t="str">
        <x:v>H5主覆盖：路径/数据。EXIF解码尺寸与COCO标注不一致；与C-018不同Issue。</x:v>
      </x:c>
    </x:row>
    <x:row r="18" ht="90" customHeight="1">
      <x:c r="A18" s="66" t="str">
        <x:v>C-017</x:v>
      </x:c>
      <x:c r="B18" s="64" t="str">
        <x:v>GitHub Issue｜facebookresearch/detectron2 #2365｜发布 2020-12-10｜访问 2026-08-05｜https://github.com/facebookresearch/detectron2/issues/2365</x:v>
      </x:c>
      <x:c r="C18" s="66" t="str">
        <x:v>训练或推理</x:v>
      </x:c>
      <x:c r="D18" s="66" t="str">
        <x:v>路径与数据</x:v>
      </x:c>
      <x:c r="E18" s="64" t="str">
        <x:v>自定义数据训练出现CUDA device-side assert；启用同步报错定位后发现数据中存在超出模型预期范围的category_id。</x:v>
      </x:c>
      <x:c r="F18" s="66" t="str">
        <x:v>阻塞运行</x:v>
      </x:c>
      <x:c r="G18" s="66" t="str">
        <x:v>是</x:v>
      </x:c>
      <x:c r="H18" s="66" t="str">
        <x:v>依据：上GPU前可验证所有category_id是否位于连续合法范围。</x:v>
      </x:c>
      <x:c r="I18" s="66" t="str">
        <x:v>路径/数据</x:v>
      </x:c>
      <x:c r="J18" s="66" t="str">
        <x:v>强</x:v>
      </x:c>
      <x:c r="K18" s="64" t="str">
        <x:v>【产品推断】数据校验器应检查类别 ID 范围、连续性和映射表，并为 CUDA 异步错误提供诊断模式。</x:v>
      </x:c>
      <x:c r="L18" s="64" t="str">
        <x:v>H5主覆盖：路径/数据。category_id越界可由数据标签检查承接。</x:v>
      </x:c>
    </x:row>
    <x:row r="19" ht="90" customHeight="1">
      <x:c r="A19" s="66" t="str">
        <x:v>C-018</x:v>
      </x:c>
      <x:c r="B19" s="64" t="str">
        <x:v>GitHub Issue｜facebookresearch/detectron2 #788｜发布 2020-02-02｜访问 2026-08-05｜https://github.com/facebookresearch/detectron2/issues/788</x:v>
      </x:c>
      <x:c r="C19" s="66" t="str">
        <x:v>训练或推理</x:v>
      </x:c>
      <x:c r="D19" s="66" t="str">
        <x:v>路径与数据</x:v>
      </x:c>
      <x:c r="E19" s="64" t="str">
        <x:v>带EXIF方向标记的图片经Pillow转置后，解码尺寸与VIA标注记录不一致并触发SizeMismatchError。</x:v>
      </x:c>
      <x:c r="F19" s="66" t="str">
        <x:v>阻塞运行</x:v>
      </x:c>
      <x:c r="G19" s="66" t="str">
        <x:v>是</x:v>
      </x:c>
      <x:c r="H19" s="66" t="str">
        <x:v>依据：预处理时可比较不同解码器的方向和尺寸结果，并在标注前规范化图片。</x:v>
      </x:c>
      <x:c r="I19" s="66" t="str">
        <x:v>路径/数据</x:v>
      </x:c>
      <x:c r="J19" s="66" t="str">
        <x:v>强</x:v>
      </x:c>
      <x:c r="K19" s="64" t="str">
        <x:v>【产品推断】预处理阶段应固定图像解码策略、移除或应用 EXIF 后重写尺寸，避免工具间解释不一致。</x:v>
      </x:c>
      <x:c r="L19" s="64" t="str">
        <x:v>H5主覆盖：路径/数据。EXIF/Pillow解码尺寸与VIA标注不一致；与C-016不同事件。</x:v>
      </x:c>
    </x:row>
    <x:row r="20" ht="90" customHeight="1">
      <x:c r="A20" s="66" t="str">
        <x:v>C-019</x:v>
      </x:c>
      <x:c r="B20" s="64" t="str">
        <x:v>GitHub Issue｜facebookresearch/detectron2 #2090｜发布 2020-10-02｜访问 2026-08-05｜https://github.com/facebookresearch/detectron2/issues/2090</x:v>
      </x:c>
      <x:c r="C20" s="66" t="str">
        <x:v>环境配置</x:v>
      </x:c>
      <x:c r="D20" s="66" t="str">
        <x:v>环境依赖</x:v>
      </x:c>
      <x:c r="E20" s="64" t="str">
        <x:v>通过pip从源码安装Detectron2时发生C++/NVCC编译错误；讨论涉及PyTorch CUDA、NVCC、GCC和Ninja版本组合。</x:v>
      </x:c>
      <x:c r="F20" s="66" t="str">
        <x:v>阻塞运行</x:v>
      </x:c>
      <x:c r="G20" s="66" t="str">
        <x:v>是</x:v>
      </x:c>
      <x:c r="H20" s="66" t="str">
        <x:v>依据：编译前可比对PyTorch CUDA、系统NVCC、GCC和Ninja版本兼容关系。</x:v>
      </x:c>
      <x:c r="I20" s="66" t="str">
        <x:v>环境</x:v>
      </x:c>
      <x:c r="J20" s="66" t="str">
        <x:v>强</x:v>
      </x:c>
      <x:c r="K20" s="64" t="str">
        <x:v>【产品推断】环境检查器应同时验证 PyTorch CUDA、系统 CUDA、编译器和构建工具，而非只记录 CUDA 版本。</x:v>
      </x:c>
      <x:c r="L20" s="64" t="str">
        <x:v>H5主覆盖：环境。PyTorch CUDA、NVCC、GCC和Ninja工具链兼容问题。</x:v>
      </x:c>
    </x:row>
    <x:row r="21" ht="90" customHeight="1">
      <x:c r="A21" s="67" t="str">
        <x:v>C-020</x:v>
      </x:c>
      <x:c r="B21" s="65" t="str">
        <x:v>GitHub Issue｜facebookresearch/detectron2 #810｜发布 2020-02-05｜访问 2026-08-05｜https://github.com/facebookresearch/detectron2/issues/810</x:v>
      </x:c>
      <x:c r="C21" s="67" t="str">
        <x:v>评测</x:v>
      </x:c>
      <x:c r="D21" s="67" t="str">
        <x:v>checkpoint与配置</x:v>
      </x:c>
      <x:c r="E21" s="65" t="str">
        <x:v>自定义Hook使用默认测试DataLoader计算验证损失时缺少ground truth；改用保留标注的mapper并修正调用后可用。</x:v>
      </x:c>
      <x:c r="F21" s="67" t="str">
        <x:v>轻微</x:v>
      </x:c>
      <x:c r="G21" s="67" t="str">
        <x:v>部分</x:v>
      </x:c>
      <x:c r="H21" s="67" t="str">
        <x:v>依据：可预先检查验证DataLoader的mapper是否保留标注及模型返回契约，但具体Hook调用问题仍需运行确认。</x:v>
      </x:c>
      <x:c r="I21" s="67" t="str">
        <x:v>checkpoint/配置</x:v>
      </x:c>
      <x:c r="J21" s="67" t="str">
        <x:v>强</x:v>
      </x:c>
      <x:c r="K21" s="65" t="str">
        <x:v>【产品推断】训练监控配置向导应验证数据加载器是否提供目标字段，并区分预测输出与损失输出所需模式。</x:v>
      </x:c>
      <x:c r="L21" s="65" t="str">
        <x:v>H5主覆盖：checkpoint/配置。验证DataLoader mapper与模型返回契约属于运行配置检查。</x:v>
      </x:c>
    </x:row>
  </x:sheetData>
  <x:conditionalFormatting sqref="A2:A21">
    <x:cfRule type="expression" dxfId="6" priority="1">
      <x:formula>COUNTIF($A$2:$A$21,A2)&gt;1</x:formula>
    </x:cfRule>
  </x:conditionalFormatting>
  <x:dataValidations count="6">
    <x:dataValidation type="list" sqref="G2:G21">
      <x:formula1>"是,部分,否,未知"</x:formula1>
    </x:dataValidation>
    <x:dataValidation type="list" sqref="J2:J21">
      <x:formula1>"强,中,弱"</x:formula1>
    </x:dataValidation>
    <x:dataValidation type="list" sqref="C2:C21">
      <x:formula1>"复现前,环境配置,数据准备,训练或推理,评测,其他"</x:formula1>
    </x:dataValidation>
    <x:dataValidation type="list" sqref="D2:D21">
      <x:formula1>"环境依赖,路径与数据,checkpoint与配置,评测,算力,资产缺失,其他"</x:formula1>
    </x:dataValidation>
    <x:dataValidation type="list" sqref="F2:F21">
      <x:formula1>"阻塞运行,结果偏差,时间浪费,安全或隐私,轻微"</x:formula1>
    </x:dataValidation>
    <x:dataValidation type="list" sqref="I2:I21">
      <x:formula1>"环境,路径/数据,checkpoint/配置,未覆盖"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fd1ee401fd42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8" hidden="0" customWidth="1"/>
    <x:col min="4" max="4" width="50" hidden="0" customWidth="1"/>
    <x:col min="5" max="5" width="36" hidden="0" customWidth="1"/>
    <x:col min="6" max="6" width="34" hidden="0" customWidth="1"/>
  </x:cols>
  <x:sheetData>
    <x:row r="1" ht="32" customHeight="1">
      <x:c r="A1" s="79" t="str">
        <x:v>H5 三类诊断初步覆盖分析</x:v>
      </x:c>
      <x:c r="B1" s="79"/>
      <x:c r="C1" s="79"/>
      <x:c r="D1" s="79"/>
      <x:c r="E1" s="79"/>
      <x:c r="F1" s="79"/>
    </x:row>
    <x:row r="2" ht="42" customHeight="1">
      <x:c r="A2" s="83" t="str">
        <x:v>证据来源：20条有效公开案例（N_case_valid=20），不是问卷20名有效用户。当前衡量案例覆盖范围，不代表产品诊断成功率。</x:v>
      </x:c>
      <x:c r="B2" s="83"/>
      <x:c r="C2" s="83"/>
      <x:c r="D2" s="83"/>
      <x:c r="E2" s="83"/>
      <x:c r="F2" s="83"/>
    </x:row>
    <x:row r="4" ht="32" customHeight="1">
      <x:c r="A4" s="88" t="str">
        <x:v>分类</x:v>
      </x:c>
      <x:c r="B4" s="88" t="str">
        <x:v>案例数 n</x:v>
      </x:c>
      <x:c r="C4" s="88" t="str">
        <x:v>有效案例分母</x:v>
      </x:c>
      <x:c r="D4" s="88" t="str">
        <x:v>占比</x:v>
      </x:c>
      <x:c r="E4" s="88" t="str">
        <x:v>代表Case ID</x:v>
      </x:c>
      <x:c r="F4" s="88" t="str">
        <x:v>备注</x:v>
      </x:c>
    </x:row>
    <x:row r="5" ht="48" customHeight="1">
      <x:c r="A5" s="93" t="str">
        <x:v>环境</x:v>
      </x:c>
      <x:c r="B5" s="102" t="n">
        <x:f>COUNTIF('02_统一案例编码'!$I$2:$I$21,A5)</x:f>
        <x:v>6</x:v>
      </x:c>
      <x:c r="C5" s="102" t="n">
        <x:f>COUNTA('02_统一案例编码'!$A$2:$A$21)</x:f>
        <x:v>20</x:v>
      </x:c>
      <x:c r="D5" s="105" t="n">
        <x:f>IFERROR(B5/C5,0)</x:f>
        <x:v>0.3</x:v>
      </x:c>
      <x:c r="E5" s="93" t="str">
        <x:v>C-006、C-014、C-019</x:v>
      </x:c>
      <x:c r="F5" s="93" t="str">
        <x:v>首版环境诊断主要覆盖</x:v>
      </x:c>
    </x:row>
    <x:row r="6" ht="48" customHeight="1">
      <x:c r="A6" s="93" t="str">
        <x:v>路径/数据</x:v>
      </x:c>
      <x:c r="B6" s="102" t="n">
        <x:f>COUNTIF('02_统一案例编码'!$I$2:$I$21,A6)</x:f>
        <x:v>8</x:v>
      </x:c>
      <x:c r="C6" s="102" t="n">
        <x:f>COUNTA('02_统一案例编码'!$A$2:$A$21)</x:f>
        <x:v>20</x:v>
      </x:c>
      <x:c r="D6" s="105" t="n">
        <x:f>IFERROR(B6/C6,0)</x:f>
        <x:v>0.4</x:v>
      </x:c>
      <x:c r="E6" s="93" t="str">
        <x:v>C-001、C-002、C-016</x:v>
      </x:c>
      <x:c r="F6" s="93" t="str">
        <x:v>首版路径/数据诊断主要覆盖</x:v>
      </x:c>
    </x:row>
    <x:row r="7" ht="48" customHeight="1">
      <x:c r="A7" s="93" t="str">
        <x:v>checkpoint/配置</x:v>
      </x:c>
      <x:c r="B7" s="102" t="n">
        <x:f>COUNTIF('02_统一案例编码'!$I$2:$I$21,A7)</x:f>
        <x:v>4</x:v>
      </x:c>
      <x:c r="C7" s="102" t="n">
        <x:f>COUNTA('02_统一案例编码'!$A$2:$A$21)</x:f>
        <x:v>20</x:v>
      </x:c>
      <x:c r="D7" s="105" t="n">
        <x:f>IFERROR(B7/C7,0)</x:f>
        <x:v>0.2</x:v>
      </x:c>
      <x:c r="E7" s="93" t="str">
        <x:v>C-003、C-010、C-020</x:v>
      </x:c>
      <x:c r="F7" s="93" t="str">
        <x:v>首版checkpoint/配置诊断主要覆盖</x:v>
      </x:c>
    </x:row>
    <x:row r="8" ht="48" customHeight="1">
      <x:c r="A8" s="96" t="str">
        <x:v>三类合计（去重）</x:v>
      </x:c>
      <x:c r="B8" s="103" t="n">
        <x:f>COUNTA(_xlfn.UNIQUE(_xlfn._xlws.FILTER('02_统一案例编码'!$A$2:$A$21,'02_统一案例编码'!$I$2:$I$21&lt;&gt;"未覆盖")))</x:f>
        <x:v>18</x:v>
      </x:c>
      <x:c r="C8" s="103" t="n">
        <x:f>COUNTA('02_统一案例编码'!$A$2:$A$21)</x:f>
        <x:v>20</x:v>
      </x:c>
      <x:c r="D8" s="106" t="n">
        <x:f>IFERROR(B8/C8,0)</x:f>
        <x:v>0.9</x:v>
      </x:c>
      <x:c r="E8" s="96" t="str">
        <x:v>除C-004、C-009外的18条</x:v>
      </x:c>
      <x:c r="F8" s="96" t="str">
        <x:v>H5核心指标；按唯一Case_ID去重</x:v>
      </x:c>
    </x:row>
    <x:row r="9" ht="48" customHeight="1">
      <x:c r="A9" s="98" t="str">
        <x:v>未覆盖</x:v>
      </x:c>
      <x:c r="B9" s="104" t="n">
        <x:f>COUNTIF('02_统一案例编码'!$I$2:$I$21,A9)</x:f>
        <x:v>2</x:v>
      </x:c>
      <x:c r="C9" s="104" t="n">
        <x:f>COUNTA('02_统一案例编码'!$A$2:$A$21)</x:f>
        <x:v>20</x:v>
      </x:c>
      <x:c r="D9" s="107" t="n">
        <x:f>IFERROR(B9/C9,0)</x:f>
        <x:v>0.1</x:v>
      </x:c>
      <x:c r="E9" s="98" t="str">
        <x:v>C-004、C-009</x:v>
      </x:c>
      <x:c r="F9" s="98" t="str">
        <x:v>单独列示，不为达到门槛调整分类</x:v>
      </x:c>
    </x:row>
    <x:row r="11">
      <x:c r="A11" s="85" t="str">
        <x:v>H5判断项目</x:v>
      </x:c>
      <x:c r="B11" s="85" t="str">
        <x:v>结果</x:v>
      </x:c>
    </x:row>
    <x:row r="12">
      <x:c r="A12" s="91" t="str">
        <x:v>有效公开案例分母 N_case_valid</x:v>
      </x:c>
      <x:c r="B12" s="91" t="n">
        <x:f>C8</x:f>
        <x:v>20</x:v>
      </x:c>
    </x:row>
    <x:row r="13">
      <x:c r="A13" s="91" t="str">
        <x:v>三类去重覆盖唯一Case_ID数</x:v>
      </x:c>
      <x:c r="B13" s="91" t="n">
        <x:f>B8</x:f>
        <x:v>18</x:v>
      </x:c>
    </x:row>
    <x:row r="14">
      <x:c r="A14" s="91" t="str">
        <x:v>H5三类覆盖率</x:v>
      </x:c>
      <x:c r="B14" s="108" t="n">
        <x:f>D8</x:f>
        <x:v>0.9</x:v>
      </x:c>
    </x:row>
    <x:row r="15">
      <x:c r="A15" s="91" t="str">
        <x:v>预设门槛</x:v>
      </x:c>
      <x:c r="B15" s="108" t="n">
        <x:v>0.7</x:v>
      </x:c>
    </x:row>
    <x:row r="16">
      <x:c r="A16" s="100" t="str">
        <x:v>初步判断</x:v>
      </x:c>
      <x:c r="B16" s="100" t="str">
        <x:f>IF(B14&gt;=B15,"H5获得初步支持","H5暂未获得初步支持")</x:f>
        <x:v>H5获得初步支持</x:v>
      </x:c>
    </x:row>
    <x:row r="18" ht="32" customHeight="1">
      <x:c r="A18" s="101" t="str">
        <x:v>未覆盖案例审查</x:v>
      </x:c>
      <x:c r="B18"/>
      <x:c r="C18"/>
      <x:c r="D18"/>
      <x:c r="E18"/>
      <x:c r="F18"/>
    </x:row>
    <x:row r="19" ht="32" customHeight="1">
      <x:c r="A19" s="88" t="str">
        <x:v>Case_ID</x:v>
      </x:c>
      <x:c r="B19" s="88" t="str">
        <x:v>问题类别</x:v>
      </x:c>
      <x:c r="C19" s="88" t="str">
        <x:v>发生阶段</x:v>
      </x:c>
      <x:c r="D19" s="88" t="str">
        <x:v>为什么三类诊断无法覆盖</x:v>
      </x:c>
      <x:c r="E19" s="88" t="str">
        <x:v>是否值得扩展首版类别</x:v>
      </x:c>
      <x:c r="F19" s="88" t="str">
        <x:v>当前决定</x:v>
      </x:c>
    </x:row>
    <x:row r="20" ht="88" customHeight="1">
      <x:c r="A20" s="93" t="str">
        <x:f>'02_统一案例编码'!A5</x:f>
        <x:v>C-004</x:v>
      </x:c>
      <x:c r="B20" s="93" t="str">
        <x:f>'02_统一案例编码'!D5</x:f>
        <x:v>算力</x:v>
      </x:c>
      <x:c r="C20" s="93" t="str">
        <x:f>'02_统一案例编码'!C5</x:f>
        <x:v>评测</x:v>
      </x:c>
      <x:c r="D20" s="93" t="str">
        <x:v>核心问题是评测过程中持续缓存高维特征造成内存溢出，属于算力/资源与评测实现风险，首版环境、路径/数据、checkpoint/配置均不能直接承接。</x:v>
      </x:c>
      <x:c r="E20" s="93" t="str">
        <x:v>是，作为资源/算力方向候选</x:v>
      </x:c>
      <x:c r="F20" s="93" t="str">
        <x:v>候选扩展</x:v>
      </x:c>
    </x:row>
    <x:row r="21" ht="88" customHeight="1">
      <x:c r="A21" s="94" t="str">
        <x:f>'02_统一案例编码'!A10</x:f>
        <x:v>C-009</x:v>
      </x:c>
      <x:c r="B21" s="94" t="str">
        <x:f>'02_统一案例编码'!D10</x:f>
        <x:v>算力</x:v>
      </x:c>
      <x:c r="C21" s="94" t="str">
        <x:f>'02_统一案例编码'!C10</x:f>
        <x:v>训练或推理</x:v>
      </x:c>
      <x:c r="D21" s="94" t="str">
        <x:v>核心问题是多进程DataLoader与共享内存条件不匹配，属于资源容量和进程配置风险，首版三类诊断不能直接覆盖其主要成因。</x:v>
      </x:c>
      <x:c r="E21" s="94" t="str">
        <x:v>可能；当前证据强度为中</x:v>
      </x:c>
      <x:c r="F21" s="94" t="str">
        <x:v>待后续验证</x:v>
      </x:c>
    </x:row>
  </x:sheetData>
  <x:mergeCells>
    <x:mergeCell ref="A1:F1"/>
    <x:mergeCell ref="A2:F2"/>
    <x:mergeCell ref="A18:F18"/>
  </x:mergeCells>
  <x:dataValidations count="1">
    <x:dataValidation type="list" sqref="F20:F21">
      <x:formula1>"保留为首版边界,候选扩展,待后续验证"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fb993401ab024827"/>
    <x:tablePart xmlns:r="http://schemas.openxmlformats.org/officeDocument/2006/relationships" r:id="Rcf221248bd8a46e2"/>
  </x:tableParts>
</x:worksheet>
</file>