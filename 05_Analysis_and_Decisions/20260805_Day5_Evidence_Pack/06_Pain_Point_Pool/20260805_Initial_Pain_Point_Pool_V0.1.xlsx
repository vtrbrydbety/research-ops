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1f4cfeb97a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初步痛点池" sheetId="1" r:id="R345e4bde5b1142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4546A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1F4E78"/>
      <x:name val="Carlito"/>
    </x:font>
    <x:font>
      <x:b/>
      <x:sz val="10"/>
      <x:color rgb="FF44546A"/>
      <x:name val="Carlito"/>
    </x:font>
    <x:font>
      <x:i/>
      <x:sz val="9"/>
      <x:color rgb="FF44546A"/>
      <x:name val="Carlito"/>
    </x:font>
    <x:font>
      <x:i/>
      <x:sz val="9"/>
      <x:color rgb="FF6B7280"/>
      <x:name val="Carlito"/>
    </x:font>
    <x:font>
      <x:b/>
      <x:sz val="11"/>
      <x:color rgb="FF1F4E78"/>
      <x:name val="Carlito"/>
    </x:font>
    <x:font>
      <x:b/>
      <x:sz val="10"/>
      <x:color rgb="FF7F6000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7FBFF"/>
      </x:patternFill>
    </x:fill>
    <x:fill>
      <x:patternFill patternType="solid">
        <x:fgColor rgb="FFF3F6F9"/>
      </x:patternFill>
    </x:fill>
    <x:fill>
      <x:patternFill patternType="solid">
        <x:fgColor rgb="FFFFF8E7"/>
      </x:patternFill>
    </x:fill>
    <x:fill>
      <x:patternFill patternType="solid">
        <x:fgColor rgb="FF2F75B5"/>
      </x:patternFill>
    </x:fill>
    <x:fill>
      <x:patternFill patternType="solid">
        <x:fgColor rgb="FFF7FBFF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</x:fills>
  <x:borders count="8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horizontal="center" vertical="top" wrapText="1"/>
    </x:xf>
    <x:xf numFmtId="0" fontId="5" fillId="0" borderId="5" xfId="0" applyNumberFormat="1" applyFont="1" applyFill="1" applyBorder="1" applyAlignment="1">
      <x:alignment horizontal="center" vertical="top" wrapText="1"/>
    </x:xf>
    <x:xf numFmtId="0" fontId="5" fillId="0" borderId="6" xfId="0" applyNumberFormat="1" applyFont="1" applyFill="1" applyBorder="1" applyAlignment="1">
      <x:alignment horizontal="center"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horizontal="center" vertical="top" wrapText="1"/>
    </x:xf>
    <x:xf numFmtId="0" fontId="4" fillId="5" borderId="5" xfId="0" applyNumberFormat="1" applyFont="1" applyFill="1" applyBorder="1" applyAlignment="1">
      <x:alignment horizontal="center" vertical="top" wrapText="1"/>
    </x:xf>
    <x:xf numFmtId="0" fontId="4" fillId="5" borderId="6" xfId="0" applyNumberFormat="1" applyFont="1" applyFill="1" applyBorder="1" applyAlignment="1">
      <x:alignment horizontal="center"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horizontal="center" vertical="top" wrapText="1"/>
    </x:xf>
    <x:xf numFmtId="0" fontId="6" fillId="6" borderId="5" xfId="0" applyNumberFormat="1" applyFont="1" applyFill="1" applyBorder="1" applyAlignment="1">
      <x:alignment horizontal="center" vertical="top" wrapText="1"/>
    </x:xf>
    <x:xf numFmtId="0" fontId="6" fillId="6" borderId="6" xfId="0" applyNumberFormat="1" applyFont="1" applyFill="1" applyBorder="1" applyAlignment="1">
      <x:alignment horizontal="center" vertical="top" wrapText="1"/>
    </x:xf>
    <x:xf numFmtId="0" fontId="4" fillId="7" borderId="4" xfId="0" applyNumberFormat="1" applyFont="1" applyFill="1" applyBorder="1" applyAlignment="1">
      <x:alignment vertical="top" wrapText="1"/>
    </x:xf>
    <x:xf numFmtId="0" fontId="4" fillId="7" borderId="5" xfId="0" applyNumberFormat="1" applyFont="1" applyFill="1" applyBorder="1" applyAlignment="1">
      <x:alignment vertical="top" wrapText="1"/>
    </x:xf>
    <x:xf numFmtId="0" fontId="4" fillId="7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7" xfId="0" applyNumberFormat="1" applyFont="1" applyFill="1" applyBorder="1"/>
    <x:xf numFmtId="0" fontId="3" fillId="8" borderId="7" xfId="0" applyNumberFormat="1" applyFont="1" applyFill="1" applyBorder="1" applyAlignment="1">
      <x:alignment wrapText="1"/>
    </x:xf>
    <x:xf numFmtId="0" fontId="3" fillId="8" borderId="7" xfId="0" applyNumberFormat="1" applyFont="1" applyFill="1" applyBorder="1" applyAlignment="1">
      <x:alignment horizontal="center" wrapText="1"/>
    </x:xf>
    <x:xf numFmtId="0" fontId="3" fillId="8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horizontal="center"/>
    </x:xf>
    <x:xf numFmtId="0" fontId="9" fillId="9" borderId="0" xfId="0" applyNumberFormat="1" applyFont="1" applyFill="1" applyBorder="1" applyAlignment="1">
      <x:alignment horizontal="center" vertical="top"/>
    </x:xf>
    <x:xf numFmtId="0" fontId="4" fillId="10" borderId="4" xfId="0" applyNumberFormat="1" applyFont="1" applyFill="1" applyBorder="1" applyAlignment="1">
      <x:alignment horizontal="center" vertical="top" wrapText="1"/>
    </x:xf>
    <x:xf numFmtId="0" fontId="4" fillId="10" borderId="5" xfId="0" applyNumberFormat="1" applyFont="1" applyFill="1" applyBorder="1" applyAlignment="1">
      <x:alignment horizontal="center" vertical="top" wrapText="1"/>
    </x:xf>
    <x:xf numFmtId="0" fontId="4" fillId="10" borderId="6" xfId="0" applyNumberFormat="1" applyFont="1" applyFill="1" applyBorder="1" applyAlignment="1">
      <x:alignment horizontal="center" vertical="top" wrapText="1"/>
    </x:xf>
    <x:xf numFmtId="0" fontId="10" fillId="10" borderId="4" xfId="0" applyNumberFormat="1" applyFont="1" applyFill="1" applyBorder="1" applyAlignment="1">
      <x:alignment horizontal="center" vertical="top" wrapText="1"/>
    </x:xf>
    <x:xf numFmtId="0" fontId="10" fillId="10" borderId="5" xfId="0" applyNumberFormat="1" applyFont="1" applyFill="1" applyBorder="1" applyAlignment="1">
      <x:alignment horizontal="center" vertical="top" wrapText="1"/>
    </x:xf>
    <x:xf numFmtId="0" fontId="10" fillId="10" borderId="6" xfId="0" applyNumberFormat="1" applyFont="1" applyFill="1" applyBorder="1" applyAlignment="1">
      <x:alignment horizontal="center" vertical="top" wrapText="1"/>
    </x:xf>
    <x:xf numFmtId="0" fontId="6" fillId="11" borderId="4" xfId="0" applyNumberFormat="1" applyFont="1" applyFill="1" applyBorder="1" applyAlignment="1">
      <x:alignment horizontal="center" vertical="top" wrapText="1"/>
    </x:xf>
    <x:xf numFmtId="0" fontId="6" fillId="11" borderId="5" xfId="0" applyNumberFormat="1" applyFont="1" applyFill="1" applyBorder="1" applyAlignment="1">
      <x:alignment horizontal="center" vertical="top" wrapText="1"/>
    </x:xf>
    <x:xf numFmtId="0" fontId="6" fillId="11" borderId="6" xfId="0" applyNumberFormat="1" applyFont="1" applyFill="1" applyBorder="1" applyAlignment="1">
      <x:alignment horizontal="center" vertical="top" wrapText="1"/>
    </x:xf>
    <x:xf numFmtId="0" fontId="5" fillId="11" borderId="4" xfId="0" applyNumberFormat="1" applyFont="1" applyFill="1" applyBorder="1" applyAlignment="1">
      <x:alignment horizontal="center" vertical="top" wrapText="1"/>
    </x:xf>
    <x:xf numFmtId="0" fontId="5" fillId="11" borderId="5" xfId="0" applyNumberFormat="1" applyFont="1" applyFill="1" applyBorder="1" applyAlignment="1">
      <x:alignment horizontal="center" vertical="top" wrapText="1"/>
    </x:xf>
    <x:xf numFmtId="0" fontId="5" fillId="11" borderId="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97db9c1720437b" /><Relationship Type="http://schemas.openxmlformats.org/officeDocument/2006/relationships/theme" Target="/xl/theme/theme1.xml" Id="R26c2f6cc8e374797" /><Relationship Type="http://schemas.openxmlformats.org/officeDocument/2006/relationships/sharedStrings" Target="/xl/sharedStrings.xml" Id="R67d64f4e60dc4fe8" /><Relationship Type="http://schemas.openxmlformats.org/officeDocument/2006/relationships/worksheet" Target="/xl/worksheets/sheet1.xml" Id="R345e4bde5b114258" /></Relationships>
</file>

<file path=xl/tables/table1.xml><?xml version="1.0" encoding="utf-8"?>
<x:table xmlns:x="http://schemas.openxmlformats.org/spreadsheetml/2006/main" id="1" name="PainPointCandidateTable" displayName="PainPointCandidateTable" ref="A4:R11" headerRowCount="1" totalsRowCount="0" totalsRowShown="0">
  <x:tableColumns count="18">
    <x:tableColumn id="1" name="pain_id"/>
    <x:tableColumn id="2" name="痛点层级"/>
    <x:tableColumn id="3" name="痛点名称"/>
    <x:tableColumn id="4" name="主要发生阶段"/>
    <x:tableColumn id="5" name="问卷频率证据"/>
    <x:tableColumn id="6" name="开放文本证据"/>
    <x:tableColumn id="7" name="公开案例证据（仅Case ID）"/>
    <x:tableColumn id="8" name="影响证据"/>
    <x:tableColumn id="9" name="可提前发现性"/>
    <x:tableColumn id="10" name="当前替代方案"/>
    <x:tableColumn id="11" name="替代方案不足"/>
    <x:tableColumn id="12" name="频率评分"/>
    <x:tableColumn id="13" name="影响评分"/>
    <x:tableColumn id="14" name="可提前发现评分"/>
    <x:tableColumn id="15" name="替代方案不足评分"/>
    <x:tableColumn id="16" name="探索性优先级分"/>
    <x:tableColumn id="17" name="当前判断"/>
    <x:tableColumn id="18" name="证据限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32c93194014e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20" hidden="0" customWidth="1"/>
    <x:col min="5" max="5" width="31" hidden="0" customWidth="1"/>
    <x:col min="6" max="6" width="31" hidden="0" customWidth="1"/>
    <x:col min="7" max="7" width="24" hidden="0" customWidth="1"/>
    <x:col min="8" max="8" width="28" hidden="0" customWidth="1"/>
    <x:col min="9" max="9" width="14" hidden="0" customWidth="1"/>
    <x:col min="10" max="10" width="28" hidden="0" customWidth="1"/>
    <x:col min="11" max="11" width="29" hidden="0" customWidth="1"/>
    <x:col min="12" max="12" width="10" hidden="0" customWidth="1"/>
    <x:col min="13" max="13" width="10" hidden="0" customWidth="1"/>
    <x:col min="14" max="14" width="12" hidden="0" customWidth="1"/>
    <x:col min="15" max="15" width="14" hidden="0" customWidth="1"/>
    <x:col min="16" max="16" width="12" hidden="0" customWidth="1"/>
    <x:col min="17" max="17" width="14" hidden="0" customWidth="1"/>
    <x:col min="18" max="18" width="32" hidden="0" customWidth="1"/>
    <x:col min="19" max="19" width="12" hidden="0" customWidth="1"/>
  </x:cols>
  <x:sheetData>
    <x:row r="1" ht="30" customHeight="1">
      <x:c r="A1" s="3" t="str">
        <x:v>初步痛点候选池 V0.1｜ResearchOps Day 5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4" customHeight="1">
      <x:c r="A2" s="7" t="str">
        <x:v>当前阶段：候选痛点池已冻结。探索性优先级分仅用于Gate 1内部候选排序，不是统计模型，也不代表市场需求强度；同分不代表需求程度完全相同。公开案例仅证明问题存在，不代表用户发生率。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42" customHeight="1">
      <x:c r="A4" s="19" t="str">
        <x:v>pain_id</x:v>
      </x:c>
      <x:c r="B4" s="20" t="str">
        <x:v>痛点层级</x:v>
      </x:c>
      <x:c r="C4" s="20" t="str">
        <x:v>痛点名称</x:v>
      </x:c>
      <x:c r="D4" s="20" t="str">
        <x:v>主要发生阶段</x:v>
      </x:c>
      <x:c r="E4" s="20" t="str">
        <x:v>问卷频率证据</x:v>
      </x:c>
      <x:c r="F4" s="20" t="str">
        <x:v>开放文本证据</x:v>
      </x:c>
      <x:c r="G4" s="20" t="str">
        <x:v>公开案例证据（仅Case ID）</x:v>
      </x:c>
      <x:c r="H4" s="20" t="str">
        <x:v>影响证据</x:v>
      </x:c>
      <x:c r="I4" s="20" t="str">
        <x:v>可提前发现性</x:v>
      </x:c>
      <x:c r="J4" s="20" t="str">
        <x:v>当前替代方案</x:v>
      </x:c>
      <x:c r="K4" s="20" t="str">
        <x:v>替代方案不足</x:v>
      </x:c>
      <x:c r="L4" s="20" t="str">
        <x:v>频率评分</x:v>
      </x:c>
      <x:c r="M4" s="20" t="str">
        <x:v>影响评分</x:v>
      </x:c>
      <x:c r="N4" s="20" t="str">
        <x:v>可提前发现评分</x:v>
      </x:c>
      <x:c r="O4" s="20" t="str">
        <x:v>替代方案不足评分</x:v>
      </x:c>
      <x:c r="P4" s="20" t="str">
        <x:v>探索性优先级分</x:v>
      </x:c>
      <x:c r="Q4" s="20" t="str">
        <x:v>当前判断</x:v>
      </x:c>
      <x:c r="R4" s="21" t="str">
        <x:v>证据限制</x:v>
      </x:c>
      <x:c r="S4" s="68" t="str">
        <x:v>分数排序</x:v>
      </x:c>
    </x:row>
    <x:row r="5" ht="96" customHeight="1">
      <x:c r="A5" s="35" t="str">
        <x:v>P-01</x:v>
      </x:c>
      <x:c r="B5" s="35" t="str">
        <x:v>前置条件</x:v>
      </x:c>
      <x:c r="C5" s="29" t="str">
        <x:v>数据获取、访问权限与路径要求难以提前确认</x:v>
      </x:c>
      <x:c r="D5" s="29" t="str">
        <x:v>复现前 / 下载与环境 / 数据准备</x:v>
      </x:c>
      <x:c r="E5" s="29" t="str">
        <x:v>Q11：数据或访问权限 7/20（35.0%）；命令、配置或路径说明缺失 5/20（25.0%）</x:v>
      </x:c>
      <x:c r="F5" s="29" t="str">
        <x:v>S-011：数据集获取（可提前发现）；S-015：数据集下载和预处理（部分可提前发现）。</x:v>
      </x:c>
      <x:c r="G5" s="29" t="str">
        <x:v>C-001、C-002、C-005、C-007、C-008</x:v>
      </x:c>
      <x:c r="H5" s="29" t="str">
        <x:v>阻塞运行：缺文件、缺索引、访问受限、格式/路径不匹配会中断数据准备或训练。</x:v>
      </x:c>
      <x:c r="I5" s="29" t="str">
        <x:v>是 / 部分</x:v>
      </x:c>
      <x:c r="J5" s="29" t="str">
        <x:v>查 README、下载页和 Issue；手动核对目录、文件、metadata 与预处理结果。</x:v>
      </x:c>
      <x:c r="K5" s="29" t="str">
        <x:v>中等：Q13为整体工具不足证据，S-011/S-015提供数据场景线索，但未直接评价替代方案解决效果。</x:v>
      </x:c>
      <x:c r="L5" s="41" t="n">
        <x:v>2</x:v>
      </x:c>
      <x:c r="M5" s="41" t="n">
        <x:v>3</x:v>
      </x:c>
      <x:c r="N5" s="41" t="n">
        <x:v>2</x:v>
      </x:c>
      <x:c r="O5" s="41" t="n">
        <x:v>2</x:v>
      </x:c>
      <x:c r="P5" s="76" t="n">
        <x:f>IF(COUNT(L5:O5)=4,PRODUCT(L5:O5),"")</x:f>
        <x:v>24</x:v>
      </x:c>
      <x:c r="Q5" s="82" t="str">
        <x:v>P0候选</x:v>
      </x:c>
      <x:c r="R5" s="53" t="str">
        <x:v>样本主要为研究生和CV用户，且问卷为自陈；开放文本详细描述有限；公开案例仅证明问题存在，不证明用户发生率。数据问题的开放文本仅有S-011、S-015两条过程线索。</x:v>
      </x:c>
      <x:c r="S5" s="72" t="n">
        <x:f>IF(P5="","",RANK(P5,$P$5:$P$11,0))</x:f>
        <x:v>4</x:v>
      </x:c>
    </x:row>
    <x:row r="6" ht="96" customHeight="1">
      <x:c r="A6" s="36" t="str">
        <x:v>P-02</x:v>
      </x:c>
      <x:c r="B6" s="36" t="str">
        <x:v>前置条件</x:v>
      </x:c>
      <x:c r="C6" s="30" t="str">
        <x:v>依赖、版本与运行环境兼容信息难以在投入前确认</x:v>
      </x:c>
      <x:c r="D6" s="30" t="str">
        <x:v>复现前 / 下载与环境</x:v>
      </x:c>
      <x:c r="E6" s="30" t="str">
        <x:v>Q11：依赖包版本冲突 11/20（55.0%）；Python、CUDA或框架不匹配 8/20（40.0%）</x:v>
      </x:c>
      <x:c r="F6" s="30" t="str">
        <x:v>无直接开放文本；待后续访谈补充具体版本判断过程。</x:v>
      </x:c>
      <x:c r="G6" s="30" t="str">
        <x:v>C-011、C-014、C-015、C-019</x:v>
      </x:c>
      <x:c r="H6" s="30" t="str">
        <x:v>阻塞运行：导入、转换、安装或编译工具链不兼容会使任务无法启动。</x:v>
      </x:c>
      <x:c r="I6" s="30" t="str">
        <x:v>部分</x:v>
      </x:c>
      <x:c r="J6" s="30" t="str">
        <x:v>查 README、requirements、Issue；手动试装或反复调整版本。</x:v>
      </x:c>
      <x:c r="K6" s="30" t="str">
        <x:v>中等：Q13为跨主题证据，缺少环境/版本主题的直接开放文本评价。</x:v>
      </x:c>
      <x:c r="L6" s="42" t="n">
        <x:v>3</x:v>
      </x:c>
      <x:c r="M6" s="42" t="n">
        <x:v>3</x:v>
      </x:c>
      <x:c r="N6" s="42" t="n">
        <x:v>2</x:v>
      </x:c>
      <x:c r="O6" s="42" t="n">
        <x:v>2</x:v>
      </x:c>
      <x:c r="P6" s="77" t="n">
        <x:f>IF(COUNT(L6:O6)=4,PRODUCT(L6:O6),"")</x:f>
        <x:v>36</x:v>
      </x:c>
      <x:c r="Q6" s="83" t="str">
        <x:v>P0候选</x:v>
      </x:c>
      <x:c r="R6" s="54" t="str">
        <x:v>样本主要为研究生和CV用户，且问卷为自陈；开放文本详细描述有限；公开案例仅证明问题存在，不证明用户发生率。缺少开放文本直接解释版本判断过程，也尚无真实准备度检查行为证据。</x:v>
      </x:c>
      <x:c r="S6" s="72" t="n">
        <x:f>IF(P6="","",RANK(P6,$P$5:$P$11,0))</x:f>
        <x:v>1</x:v>
      </x:c>
    </x:row>
    <x:row r="7" ht="96" customHeight="1">
      <x:c r="A7" s="36" t="str">
        <x:v>P-03</x:v>
      </x:c>
      <x:c r="B7" s="36" t="str">
        <x:v>前置条件</x:v>
      </x:c>
      <x:c r="C7" s="30" t="str">
        <x:v>预训练权重与运行配置的完整性和兼容性难判断</x:v>
      </x:c>
      <x:c r="D7" s="30" t="str">
        <x:v>复现前 / 运行中 / 评测后</x:v>
      </x:c>
      <x:c r="E7" s="30" t="str">
        <x:v>Q11：权重缺失或不兼容 8/20（40.0%）；命令、配置或路径说明缺失 5/20（25.0%）</x:v>
      </x:c>
      <x:c r="F7" s="30" t="str">
        <x:v>无直接开放文本；待后续任务观察补充。</x:v>
      </x:c>
      <x:c r="G7" s="30" t="str">
        <x:v>C-003、C-010、C-012、C-020</x:v>
      </x:c>
      <x:c r="H7" s="30" t="str">
        <x:v>阻塞运行或结果偏差：权重键名、采样参数、类别映射或数据加载器契约不一致。</x:v>
      </x:c>
      <x:c r="I7" s="30" t="str">
        <x:v>部分</x:v>
      </x:c>
      <x:c r="J7" s="30" t="str">
        <x:v>阅读配置与模型代码；尝试修改参数、加载策略或 mapper 后再运行。</x:v>
      </x:c>
      <x:c r="K7" s="30" t="str">
        <x:v>中等：Q13为整体信息分散与证据不足，缺少权重/配置主题的直接开放文本。</x:v>
      </x:c>
      <x:c r="L7" s="42" t="n">
        <x:v>2</x:v>
      </x:c>
      <x:c r="M7" s="42" t="n">
        <x:v>3</x:v>
      </x:c>
      <x:c r="N7" s="42" t="n">
        <x:v>2</x:v>
      </x:c>
      <x:c r="O7" s="42" t="n">
        <x:v>2</x:v>
      </x:c>
      <x:c r="P7" s="77" t="n">
        <x:f>IF(COUNT(L7:O7)=4,PRODUCT(L7:O7),"")</x:f>
        <x:v>24</x:v>
      </x:c>
      <x:c r="Q7" s="83" t="str">
        <x:v>P0候选</x:v>
      </x:c>
      <x:c r="R7" s="54" t="str">
        <x:v>样本主要为研究生和CV用户，且问卷为自陈；开放文本详细描述有限；公开案例仅证明问题存在，不证明用户发生率。公开案例支持兼容问题存在，但尚未验证系统能否在真实任务中正确识别。</x:v>
      </x:c>
      <x:c r="S7" s="72" t="n">
        <x:f>IF(P7="","",RANK(P7,$P$5:$P$11,0))</x:f>
        <x:v>4</x:v>
      </x:c>
    </x:row>
    <x:row r="8" ht="96" customHeight="1">
      <x:c r="A8" s="36" t="str">
        <x:v>P-04</x:v>
      </x:c>
      <x:c r="B8" s="36" t="str">
        <x:v>前置条件</x:v>
      </x:c>
      <x:c r="C8" s="30" t="str">
        <x:v>算力、显存与运行资源需求在投入前不透明</x:v>
      </x:c>
      <x:c r="D8" s="30" t="str">
        <x:v>复现前 / 运行中 / 评测后</x:v>
      </x:c>
      <x:c r="E8" s="30" t="str">
        <x:v>Q11：资源不足 11/20（55.0%）</x:v>
      </x:c>
      <x:c r="F8" s="30" t="str">
        <x:v>无直接开放文本；待后续访谈补充资源估算与实际任务过程。</x:v>
      </x:c>
      <x:c r="G8" s="30" t="str">
        <x:v>C-004、C-009</x:v>
      </x:c>
      <x:c r="H8" s="30" t="str">
        <x:v>阻塞运行：资源不足会导致进程终止、任务挂起或需要缩小任务规模。</x:v>
      </x:c>
      <x:c r="I8" s="30" t="str">
        <x:v>部分</x:v>
      </x:c>
      <x:c r="J8" s="30" t="str">
        <x:v>运行后再降低 worker、关闭缓存/特征保存或调整任务规模。</x:v>
      </x:c>
      <x:c r="K8" s="30" t="str">
        <x:v>中等：资源问题频率较高，但缺少用户对现有资源评估方式有效性的直接评价。</x:v>
      </x:c>
      <x:c r="L8" s="42" t="n">
        <x:v>3</x:v>
      </x:c>
      <x:c r="M8" s="42" t="n">
        <x:v>3</x:v>
      </x:c>
      <x:c r="N8" s="42" t="n">
        <x:v>2</x:v>
      </x:c>
      <x:c r="O8" s="42" t="n">
        <x:v>2</x:v>
      </x:c>
      <x:c r="P8" s="77" t="n">
        <x:f>IF(COUNT(L8:O8)=4,PRODUCT(L8:O8),"")</x:f>
        <x:v>36</x:v>
      </x:c>
      <x:c r="Q8" s="83" t="str">
        <x:v>P1候选</x:v>
      </x:c>
      <x:c r="R8" s="54" t="str">
        <x:v>样本主要为研究生和CV用户，且问卷为自陈；开放文本详细描述有限；公开案例仅证明问题存在，不证明用户发生率。有效公开案例仅2条，不足以支持立即扩展为首版第四类核心诊断。</x:v>
      </x:c>
      <x:c r="S8" s="72" t="n">
        <x:f>IF(P8="","",RANK(P8,$P$5:$P$11,0))</x:f>
        <x:v>1</x:v>
      </x:c>
    </x:row>
    <x:row r="9" ht="96" customHeight="1">
      <x:c r="A9" s="36" t="str">
        <x:v>P-05</x:v>
      </x:c>
      <x:c r="B9" s="36" t="str">
        <x:v>执行过程</x:v>
      </x:c>
      <x:c r="C9" s="30" t="str">
        <x:v>运行报错的定位与排查过程耗时、缺少结构化路径</x:v>
      </x:c>
      <x:c r="D9" s="30" t="str">
        <x:v>运行中</x:v>
      </x:c>
      <x:c r="E9" s="30" t="str">
        <x:v>Q10（原始有效样本复核）：排查并解决运行错误 7/20（35.0%）</x:v>
      </x:c>
      <x:c r="F9" s="30" t="str">
        <x:v>无直接开放文本；待后续任务观察补充。</x:v>
      </x:c>
      <x:c r="G9" s="30" t="str">
        <x:v>C-001、C-005、C-006、C-009</x:v>
      </x:c>
      <x:c r="H9" s="30" t="str">
        <x:v>显著增加排查时间：用户通常需在报错、配置、数据与 Issue 之间反复比对。</x:v>
      </x:c>
      <x:c r="I9" s="30" t="str">
        <x:v>部分</x:v>
      </x:c>
      <x:c r="J9" s="30" t="str">
        <x:v>搜索报错、阅读 Issue、调整参数后重跑。</x:v>
      </x:c>
      <x:c r="K9" s="30" t="str">
        <x:v>中等：Q13与排错高度相关但非单独提问，暂按间接支持处理。</x:v>
      </x:c>
      <x:c r="L9" s="42" t="n">
        <x:v>2</x:v>
      </x:c>
      <x:c r="M9" s="42" t="n">
        <x:v>2</x:v>
      </x:c>
      <x:c r="N9" s="42" t="n">
        <x:v>2</x:v>
      </x:c>
      <x:c r="O9" s="42" t="n">
        <x:v>2</x:v>
      </x:c>
      <x:c r="P9" s="77" t="n">
        <x:f>IF(COUNT(L9:O9)=4,PRODUCT(L9:O9),"")</x:f>
        <x:v>16</x:v>
      </x:c>
      <x:c r="Q9" s="83" t="str">
        <x:v>P1候选</x:v>
      </x:c>
      <x:c r="R9" s="54" t="str">
        <x:v>样本主要为研究生和CV用户，且问卷为自陈；开放文本详细描述有限；公开案例仅证明问题存在，不证明用户发生率。Q10口径后续复核，但本轮先按7/20暂记完成第五天收尾。</x:v>
      </x:c>
      <x:c r="S9" s="72" t="n">
        <x:f>IF(P9="","",RANK(P9,$P$5:$P$11,0))</x:f>
        <x:v>6</x:v>
      </x:c>
    </x:row>
    <x:row r="10" ht="96" customHeight="1">
      <x:c r="A10" s="36" t="str">
        <x:v>P-06</x:v>
      </x:c>
      <x:c r="B10" s="36" t="str">
        <x:v>评测验证</x:v>
      </x:c>
      <x:c r="C10" s="30" t="str">
        <x:v>评测口径与结果对齐缺少可验证的前置检查</x:v>
      </x:c>
      <x:c r="D10" s="30" t="str">
        <x:v>评测后</x:v>
      </x:c>
      <x:c r="E10" s="30" t="str">
        <x:v>Q11：评测口径不清 4/20（20.0%）；Q9：计算指标并对齐结果为最耗时环节 1/20（5.0%）</x:v>
      </x:c>
      <x:c r="F10" s="30" t="str">
        <x:v>无直接开放文本；待后续任务观察补充。</x:v>
      </x:c>
      <x:c r="G10" s="30" t="str">
        <x:v>C-012、C-020</x:v>
      </x:c>
      <x:c r="H10" s="30" t="str">
        <x:v>结果偏差或返工：类别映射、验证数据加载器或指标过程不一致会导致mAP为0或验证损失不可用。</x:v>
      </x:c>
      <x:c r="I10" s="30" t="str">
        <x:v>部分</x:v>
      </x:c>
      <x:c r="J10" s="30" t="str">
        <x:v>对照论文、代码和日志；在多轮训练或评测异常后排查。</x:v>
      </x:c>
      <x:c r="K10" s="30" t="str">
        <x:v>中等：Q13存在整体证据不足问题，但没有评测场景直接开放文本。</x:v>
      </x:c>
      <x:c r="L10" s="42" t="n">
        <x:v>1</x:v>
      </x:c>
      <x:c r="M10" s="42" t="n">
        <x:v>2</x:v>
      </x:c>
      <x:c r="N10" s="42" t="n">
        <x:v>2</x:v>
      </x:c>
      <x:c r="O10" s="42" t="n">
        <x:v>2</x:v>
      </x:c>
      <x:c r="P10" s="77" t="n">
        <x:f>IF(COUNT(L10:O10)=4,PRODUCT(L10:O10),"")</x:f>
        <x:v>8</x:v>
      </x:c>
      <x:c r="Q10" s="83" t="str">
        <x:v>继续观察</x:v>
      </x:c>
      <x:c r="R10" s="54" t="str">
        <x:v>样本主要为研究生和CV用户，且问卷为自陈；开放文本详细描述有限；公开案例仅证明问题存在，不证明用户发生率。问卷频率较低且缺乏开放文本过程证据。</x:v>
      </x:c>
      <x:c r="S10" s="72" t="n">
        <x:f>IF(P10="","",RANK(P10,$P$5:$P$11,0))</x:f>
        <x:v>7</x:v>
      </x:c>
    </x:row>
    <x:row r="11" ht="96" customHeight="1">
      <x:c r="A11" s="37" t="str">
        <x:v>P-07</x:v>
      </x:c>
      <x:c r="B11" s="37" t="str">
        <x:v>信息支持</x:v>
      </x:c>
      <x:c r="C11" s="31" t="str">
        <x:v>复现所需信息分散、缺少可信证据与项目化建议</x:v>
      </x:c>
      <x:c r="D11" s="31" t="str">
        <x:v>贯穿复现前至运行中</x:v>
      </x:c>
      <x:c r="E11" s="31" t="str">
        <x:v>Q13：信息分散 12/20（60.0%）；结论缺少来源或证据 10/20（50.0%）；建议泛化 7/20（35.0%）</x:v>
      </x:c>
      <x:c r="F11" s="31" t="str">
        <x:v>无直接开放文本；现有开放文本不足以解释所有信息查找路径。</x:v>
      </x:c>
      <x:c r="G11" s="31" t="str">
        <x:v>C-013</x:v>
      </x:c>
      <x:c r="H11" s="31" t="str">
        <x:v>明显增加判断与排查时间；可能导致按过时或不完整信息执行。</x:v>
      </x:c>
      <x:c r="I11" s="31" t="str">
        <x:v>部分</x:v>
      </x:c>
      <x:c r="J11" s="31" t="str">
        <x:v>在 README、Issue、搜索与通用助手之间反复查找和拼接信息。</x:v>
      </x:c>
      <x:c r="K11" s="31" t="str">
        <x:v>强：Q13直接对应信息分散、证据不足与建议泛化。</x:v>
      </x:c>
      <x:c r="L11" s="43" t="n">
        <x:v>3</x:v>
      </x:c>
      <x:c r="M11" s="43" t="n">
        <x:v>2</x:v>
      </x:c>
      <x:c r="N11" s="43" t="n">
        <x:v>2</x:v>
      </x:c>
      <x:c r="O11" s="43" t="n">
        <x:v>3</x:v>
      </x:c>
      <x:c r="P11" s="78" t="n">
        <x:f>IF(COUNT(L11:O11)=4,PRODUCT(L11:O11),"")</x:f>
        <x:v>36</x:v>
      </x:c>
      <x:c r="Q11" s="84" t="str">
        <x:v>P0支撑原则</x:v>
      </x:c>
      <x:c r="R11" s="55" t="str">
        <x:v>样本主要为研究生和CV用户，且问卷为自陈；开放文本详细描述有限；公开案例仅证明问题存在，不证明用户发生率。Q13反映现有方式不足，不直接等同于单一技术问题的发生率。</x:v>
      </x:c>
      <x:c r="S11" s="72" t="n">
        <x:f>IF(P11="","",RANK(P11,$P$5:$P$11,0))</x:f>
        <x:v>1</x:v>
      </x:c>
    </x:row>
    <x:row r="13" ht="30" customHeight="1">
      <x:c r="A13" s="59" t="str">
        <x:v>Gate 1产品结构：P0核心问题＝数据/路径＋环境/版本＋权重/配置；P0横向要求＝所有判断均应提供来源、证据与项目上下文；P1＝算力/资源＋报错排查；继续观察＝评测与结果对齐。</x:v>
      </x:c>
      <x:c r="B13" s="59"/>
      <x:c r="C13" s="59"/>
      <x:c r="D13" s="59"/>
      <x:c r="E13" s="59"/>
      <x:c r="F13" s="59"/>
      <x:c r="G13" s="59"/>
      <x:c r="H13" s="59"/>
      <x:c r="I13" s="59"/>
      <x:c r="J13" s="59"/>
      <x:c r="K13" s="59"/>
      <x:c r="L13" s="59"/>
      <x:c r="M13" s="59"/>
      <x:c r="N13" s="59"/>
      <x:c r="O13" s="59"/>
      <x:c r="P13" s="59"/>
      <x:c r="Q13" s="59"/>
      <x:c r="R13" s="59"/>
    </x:row>
    <x:row r="14" ht="28" customHeight="1">
      <x:c r="A14" s="62" t="str">
        <x:v>H5一致性：P-04算力/资源虽为36分，但仍为P1候选；本轮公开案例仅2条且不属于首版三类诊断覆盖范围，暂不新增第四类核心诊断。</x:v>
      </x:c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</x:row>
  </x:sheetData>
  <x:mergeCells>
    <x:mergeCell ref="A1:R1"/>
    <x:mergeCell ref="A2:R2"/>
    <x:mergeCell ref="A13:R13"/>
    <x:mergeCell ref="A14:R14"/>
  </x:mergeCells>
  <x:dataValidations count="4">
    <x:dataValidation type="list" sqref="I5:I11">
      <x:formula1>"是,部分,否,未知,是 / 部分"</x:formula1>
    </x:dataValidation>
    <x:dataValidation type="whole" operator="between" sqref="L5:O11">
      <x:formula1>1</x:formula1>
      <x:formula2>3</x:formula2>
    </x:dataValidation>
    <x:dataValidation type="list" sqref="Q5:Q11">
      <x:formula1>"P0候选,P0支撑原则,P1候选,继续观察"</x:formula1>
    </x:dataValidation>
    <x:dataValidation type="list" sqref="Q9">
      <x:formula1>"候选待评分,已评分待排序,已复核,P0候选,P1候选,继续观察"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32c93194014e8e"/>
  </x:tableParts>
</x:worksheet>
</file>