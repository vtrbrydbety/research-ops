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21560dc73245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统计说明" sheetId="1" r:id="Re37ec078efbb4539"/>
    <x:sheet xmlns:r="http://schemas.openxmlformats.org/officeDocument/2006/relationships" name="02_有效样本核心题" sheetId="2" r:id="R52a93d77b5fb47c5"/>
    <x:sheet xmlns:r="http://schemas.openxmlformats.org/officeDocument/2006/relationships" name="03_Q8_时间成本" sheetId="3" r:id="R54e0f3d9ab71409b"/>
    <x:sheet xmlns:r="http://schemas.openxmlformats.org/officeDocument/2006/relationships" name="04_Q9_最耗时环节" sheetId="4" r:id="R35f6efaf2bbb46da"/>
    <x:sheet xmlns:r="http://schemas.openxmlformats.org/officeDocument/2006/relationships" name="05_Q10_最易阻塞环节" sheetId="5" r:id="Ra3fb4c993e594e81"/>
    <x:sheet xmlns:r="http://schemas.openxmlformats.org/officeDocument/2006/relationships" name="06_Q11_提前可核验问题" sheetId="6" r:id="Ra2c642554e5a44d2"/>
    <x:sheet xmlns:r="http://schemas.openxmlformats.org/officeDocument/2006/relationships" name="07_Q12_实际使用方式" sheetId="7" r:id="Rba36bede5e8141de"/>
    <x:sheet xmlns:r="http://schemas.openxmlformats.org/officeDocument/2006/relationships" name="08_Q13_现有方式不足" sheetId="8" r:id="R9d357f8b4d634917"/>
    <x:sheet xmlns:r="http://schemas.openxmlformats.org/officeDocument/2006/relationships" name="09_Q14_优先确认信息" sheetId="9" r:id="R5b2ecc1128fb4de9"/>
    <x:sheet xmlns:r="http://schemas.openxmlformats.org/officeDocument/2006/relationships" name="10_Q15_AI操作权限" sheetId="10" r:id="Rccb0d30656dd4779"/>
    <x:sheet xmlns:r="http://schemas.openxmlformats.org/officeDocument/2006/relationships" name="11_Q16_报告使用分享" sheetId="11" r:id="R405d68ae68024557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%"/>
    <x:numFmt numFmtId="202" formatCode="0.0"/>
  </x:numFmts>
  <x:fonts count="9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1"/>
      <x:color rgb="FF385723"/>
      <x:name val="Carlito"/>
    </x:font>
    <x:font>
      <x:b/>
      <x:sz val="11"/>
      <x:color rgb="FF1F1F1F"/>
      <x:name val="Carlito"/>
    </x:font>
    <x:font>
      <x:b/>
      <x:sz val="11"/>
      <x:name val="Carlito"/>
    </x:font>
    <x:font>
      <x:sz val="10"/>
      <x:name val="Microsoft YaHei"/>
    </x:font>
    <x:font>
      <x:b/>
      <x:sz val="10"/>
      <x:color rgb="FFFFFFFF"/>
      <x:name val="Microsoft YaHei"/>
    </x:font>
    <x:font>
      <x:b/>
      <x:sz val="10"/>
      <x:name val="Microsoft YaHei"/>
    </x:font>
  </x:fonts>
  <x:fills count="16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3F0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1F4E78"/>
      </x:patternFill>
    </x:fill>
    <x:fill>
      <x:patternFill patternType="solid">
        <x:fgColor rgb="FFDDEBF7"/>
      </x:patternFill>
    </x:fill>
    <x:fill>
      <x:patternFill patternType="solid">
        <x:fgColor rgb="FF1F4E78"/>
      </x:patternFill>
    </x:fill>
    <x:fill>
      <x:patternFill patternType="solid">
        <x:fgColor rgb="FFDDEBF7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DDEBF7"/>
      </x:patternFill>
    </x:fill>
    <x:fill>
      <x:patternFill patternType="solid">
        <x:fgColor rgb="FF1F4E78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DEBF7"/>
      </x:patternFill>
    </x:fill>
    <x:fill>
      <x:patternFill patternType="solid">
        <x:fgColor rgb="FFF2F2F2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F2F2F2"/>
      </x:patternFill>
    </x:fill>
    <x:fill>
      <x:patternFill patternType="solid">
        <x:fgColor rgb="FF1F4E78"/>
      </x:patternFill>
    </x:fill>
    <x:fill>
      <x:patternFill patternType="solid">
        <x:fgColor rgb="FFDDEBF7"/>
      </x:patternFill>
    </x:fill>
    <x:fill>
      <x:patternFill patternType="solid">
        <x:fgColor rgb="FF1F4E78"/>
      </x:patternFill>
    </x:fill>
    <x:fill>
      <x:patternFill patternType="solid">
        <x:fgColor rgb="FFDDEBF7"/>
      </x:patternFill>
    </x:fill>
    <x:fill>
      <x:patternFill patternType="solid">
        <x:fgColor rgb="FF1F4E78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DEBF7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10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  <x:border>
      <x:left style="thin">
        <x:color rgb="FF9EADBA"/>
      </x:left>
      <x:right style="thin">
        <x:color rgb="FF9EADBA"/>
      </x:right>
      <x:top style="thin">
        <x:color rgb="FF9EADBA"/>
      </x:top>
      <x:bottom style="thin">
        <x:color rgb="FF9EADBA"/>
      </x:bottom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7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2" xfId="0" applyNumberFormat="1" applyFont="1" applyFill="1" applyBorder="1"/>
    <x:xf numFmtId="0" fontId="1" fillId="4" borderId="3" xfId="0" applyNumberFormat="1" applyFont="1" applyFill="1" applyBorder="1"/>
    <x:xf numFmtId="0" fontId="1" fillId="4" borderId="4" xfId="0" applyNumberFormat="1" applyFont="1" applyFill="1" applyBorder="1"/>
    <x:xf numFmtId="0" fontId="1" fillId="4" borderId="2" xfId="0" applyNumberFormat="1" applyFont="1" applyFill="1" applyBorder="1" applyAlignment="1">
      <x:alignment wrapText="1"/>
    </x:xf>
    <x:xf numFmtId="0" fontId="1" fillId="4" borderId="3" xfId="0" applyNumberFormat="1" applyFont="1" applyFill="1" applyBorder="1" applyAlignment="1">
      <x:alignment wrapText="1"/>
    </x:xf>
    <x:xf numFmtId="0" fontId="1" fillId="4" borderId="4" xfId="0" applyNumberFormat="1" applyFont="1" applyFill="1" applyBorder="1" applyAlignment="1">
      <x:alignment wrapText="1"/>
    </x:xf>
    <x:xf numFmtId="0" fontId="1" fillId="4" borderId="2" xfId="0" applyNumberFormat="1" applyFont="1" applyFill="1" applyBorder="1" applyAlignment="1">
      <x:alignment horizontal="center" wrapText="1"/>
    </x:xf>
    <x:xf numFmtId="0" fontId="1" fillId="4" borderId="3" xfId="0" applyNumberFormat="1" applyFont="1" applyFill="1" applyBorder="1" applyAlignment="1">
      <x:alignment horizontal="center" wrapText="1"/>
    </x:xf>
    <x:xf numFmtId="0" fontId="1" fillId="4" borderId="4" xfId="0" applyNumberFormat="1" applyFont="1" applyFill="1" applyBorder="1" applyAlignment="1">
      <x:alignment horizontal="center" wrapText="1"/>
    </x:xf>
    <x:xf numFmtId="0" fontId="1" fillId="4" borderId="2" xfId="0" applyNumberFormat="1" applyFont="1" applyFill="1" applyBorder="1" applyAlignment="1">
      <x:alignment horizontal="center" vertical="center" wrapText="1"/>
    </x:xf>
    <x:xf numFmtId="0" fontId="1" fillId="4" borderId="3" xfId="0" applyNumberFormat="1" applyFont="1" applyFill="1" applyBorder="1" applyAlignment="1">
      <x:alignment horizontal="center" vertical="center" wrapText="1"/>
    </x:xf>
    <x:xf numFmtId="0" fontId="1" fillId="4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5" borderId="5" xfId="0" applyNumberFormat="1" applyFont="1" applyFill="1" applyBorder="1" applyAlignment="1">
      <x:alignment vertical="center" wrapText="1"/>
    </x:xf>
    <x:xf numFmtId="0" fontId="0" fillId="5" borderId="6" xfId="0" applyNumberFormat="1" applyFont="1" applyFill="1" applyBorder="1" applyAlignment="1">
      <x:alignment vertical="center" wrapText="1"/>
    </x:xf>
    <x:xf numFmtId="0" fontId="0" fillId="5" borderId="7" xfId="0" applyNumberFormat="1" applyFont="1" applyFill="1" applyBorder="1" applyAlignment="1">
      <x:alignment vertical="center" wrapText="1"/>
    </x:xf>
    <x:xf numFmtId="0" fontId="0" fillId="6" borderId="5" xfId="0" applyNumberFormat="1" applyFont="1" applyFill="1" applyBorder="1" applyAlignment="1">
      <x:alignment vertical="center" wrapText="1"/>
    </x:xf>
    <x:xf numFmtId="0" fontId="0" fillId="6" borderId="6" xfId="0" applyNumberFormat="1" applyFont="1" applyFill="1" applyBorder="1" applyAlignment="1">
      <x:alignment vertical="center" wrapText="1"/>
    </x:xf>
    <x:xf numFmtId="0" fontId="0" fillId="6" borderId="7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horizontal="center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0" fillId="8" borderId="5" xfId="0" applyNumberFormat="1" applyFont="1" applyFill="1" applyBorder="1" applyAlignment="1">
      <x:alignment vertical="center" wrapText="1"/>
    </x:xf>
    <x:xf numFmtId="0" fontId="0" fillId="8" borderId="6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wrapText="1"/>
    </x:xf>
    <x:xf numFmtId="0" fontId="1" fillId="9" borderId="0" xfId="0" applyNumberFormat="1" applyFont="1" applyFill="1" applyBorder="1" applyAlignment="1">
      <x:alignment horizontal="center" wrapText="1"/>
    </x:xf>
    <x:xf numFmtId="0" fontId="1" fillId="9" borderId="0" xfId="0" applyNumberFormat="1" applyFont="1" applyFill="1" applyBorder="1" applyAlignment="1">
      <x:alignment horizontal="center" vertical="center" wrapText="1"/>
    </x:xf>
    <x:xf numFmtId="0" fontId="0" fillId="10" borderId="5" xfId="0" applyNumberFormat="1" applyFont="1" applyFill="1" applyBorder="1" applyAlignment="1">
      <x:alignment vertical="center" wrapText="1"/>
    </x:xf>
    <x:xf numFmtId="0" fontId="0" fillId="10" borderId="6" xfId="0" applyNumberFormat="1" applyFont="1" applyFill="1" applyBorder="1" applyAlignment="1">
      <x:alignment vertical="center" wrapText="1"/>
    </x:xf>
    <x:xf numFmtId="0" fontId="0" fillId="5" borderId="5" xfId="0" applyNumberFormat="1" applyFont="1" applyFill="1" applyBorder="1" applyAlignment="1">
      <x:alignment horizontal="center" vertical="center" wrapText="1"/>
    </x:xf>
    <x:xf numFmtId="0" fontId="0" fillId="5" borderId="6" xfId="0" applyNumberFormat="1" applyFont="1" applyFill="1" applyBorder="1" applyAlignment="1">
      <x:alignment horizontal="center" vertical="center" wrapText="1"/>
    </x:xf>
    <x:xf numFmtId="0" fontId="0" fillId="5" borderId="7" xfId="0" applyNumberFormat="1" applyFont="1" applyFill="1" applyBorder="1" applyAlignment="1">
      <x:alignment horizontal="center" vertical="center" wrapText="1"/>
    </x:xf>
    <x:xf numFmtId="200" fontId="0" fillId="5" borderId="5" xfId="0" applyNumberFormat="1" applyFont="1" applyFill="1" applyBorder="1" applyAlignment="1">
      <x:alignment horizontal="center" vertical="center" wrapText="1"/>
    </x:xf>
    <x:xf numFmtId="200" fontId="0" fillId="5" borderId="6" xfId="0" applyNumberFormat="1" applyFont="1" applyFill="1" applyBorder="1" applyAlignment="1">
      <x:alignment horizontal="center" vertical="center" wrapText="1"/>
    </x:xf>
    <x:xf numFmtId="200" fontId="0" fillId="5" borderId="7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12" borderId="1" xfId="0" applyNumberFormat="1" applyFont="1" applyFill="1" applyBorder="1" applyAlignment="1">
      <x:alignment vertical="center"/>
    </x:xf>
    <x:xf numFmtId="0" fontId="3" fillId="12" borderId="1" xfId="0" applyNumberFormat="1" applyFont="1" applyFill="1" applyBorder="1" applyAlignment="1">
      <x:alignment vertical="center"/>
    </x:xf>
    <x:xf numFmtId="200" fontId="3" fillId="12" borderId="1" xfId="0" applyNumberFormat="1" applyFont="1" applyFill="1" applyBorder="1" applyAlignment="1">
      <x:alignment vertical="center"/>
    </x:xf>
    <x:xf numFmtId="200" fontId="3" fillId="12" borderId="1" xfId="0" applyNumberFormat="1" applyFont="1" applyFill="1" applyBorder="1" applyAlignment="1">
      <x:alignment horizontal="center" vertical="center"/>
    </x:xf>
    <x:xf numFmtId="0" fontId="0" fillId="13" borderId="0" xfId="0" applyNumberFormat="1" applyFont="1" applyFill="1" applyBorder="1"/>
    <x:xf numFmtId="0" fontId="1" fillId="13" borderId="0" xfId="0" applyNumberFormat="1" applyFont="1" applyFill="1" applyBorder="1"/>
    <x:xf numFmtId="0" fontId="1" fillId="13" borderId="0" xfId="0" applyNumberFormat="1" applyFont="1" applyFill="1" applyBorder="1" applyAlignment="1">
      <x:alignment horizontal="center"/>
    </x:xf>
    <x:xf numFmtId="0" fontId="0" fillId="14" borderId="1" xfId="0" applyNumberFormat="1" applyFont="1" applyFill="1" applyBorder="1" applyAlignment="1">
      <x:alignment vertical="center"/>
    </x:xf>
    <x:xf numFmtId="0" fontId="3" fillId="14" borderId="1" xfId="0" applyNumberFormat="1" applyFont="1" applyFill="1" applyBorder="1" applyAlignment="1">
      <x:alignment vertical="center"/>
    </x:xf>
    <x:xf numFmtId="200" fontId="3" fillId="14" borderId="1" xfId="0" applyNumberFormat="1" applyFont="1" applyFill="1" applyBorder="1" applyAlignment="1">
      <x:alignment vertical="center"/>
    </x:xf>
    <x:xf numFmtId="200" fontId="3" fillId="14" borderId="1" xfId="0" applyNumberFormat="1" applyFont="1" applyFill="1" applyBorder="1" applyAlignment="1">
      <x:alignment horizontal="center" vertical="center"/>
    </x:xf>
    <x:xf numFmtId="0" fontId="0" fillId="15" borderId="0" xfId="0" applyNumberFormat="1" applyFont="1" applyFill="1" applyBorder="1"/>
    <x:xf numFmtId="0" fontId="1" fillId="15" borderId="0" xfId="0" applyNumberFormat="1" applyFont="1" applyFill="1" applyBorder="1"/>
    <x:xf numFmtId="0" fontId="1" fillId="15" borderId="0" xfId="0" applyNumberFormat="1" applyFont="1" applyFill="1" applyBorder="1" applyAlignment="1">
      <x:alignment horizontal="center"/>
    </x:xf>
    <x:xf numFmtId="0" fontId="0" fillId="16" borderId="1" xfId="0" applyNumberFormat="1" applyFont="1" applyFill="1" applyBorder="1" applyAlignment="1">
      <x:alignment vertical="center"/>
    </x:xf>
    <x:xf numFmtId="0" fontId="3" fillId="16" borderId="1" xfId="0" applyNumberFormat="1" applyFont="1" applyFill="1" applyBorder="1" applyAlignment="1">
      <x:alignment vertical="center"/>
    </x:xf>
    <x:xf numFmtId="200" fontId="3" fillId="16" borderId="1" xfId="0" applyNumberFormat="1" applyFont="1" applyFill="1" applyBorder="1" applyAlignment="1">
      <x:alignment vertical="center"/>
    </x:xf>
    <x:xf numFmtId="200" fontId="3" fillId="16" borderId="1" xfId="0" applyNumberFormat="1" applyFont="1" applyFill="1" applyBorder="1" applyAlignment="1">
      <x:alignment horizontal="center" vertical="center"/>
    </x:xf>
    <x:xf numFmtId="0" fontId="0" fillId="17" borderId="0" xfId="0" applyNumberFormat="1" applyFont="1" applyFill="1" applyBorder="1"/>
    <x:xf numFmtId="0" fontId="1" fillId="17" borderId="0" xfId="0" applyNumberFormat="1" applyFont="1" applyFill="1" applyBorder="1"/>
    <x:xf numFmtId="0" fontId="1" fillId="17" borderId="0" xfId="0" applyNumberFormat="1" applyFont="1" applyFill="1" applyBorder="1" applyAlignment="1">
      <x:alignment wrapText="1"/>
    </x:xf>
    <x:xf numFmtId="0" fontId="1" fillId="17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18" borderId="1" xfId="0" applyNumberFormat="1" applyFont="1" applyFill="1" applyBorder="1" applyAlignment="1">
      <x:alignment vertical="center" wrapText="1"/>
    </x:xf>
    <x:xf numFmtId="0" fontId="3" fillId="18" borderId="1" xfId="0" applyNumberFormat="1" applyFont="1" applyFill="1" applyBorder="1" applyAlignment="1">
      <x:alignment vertical="center" wrapText="1"/>
    </x:xf>
    <x:xf numFmtId="200" fontId="3" fillId="18" borderId="1" xfId="0" applyNumberFormat="1" applyFont="1" applyFill="1" applyBorder="1" applyAlignment="1">
      <x:alignment vertical="center" wrapText="1"/>
    </x:xf>
    <x:xf numFmtId="200" fontId="3" fillId="18" borderId="1" xfId="0" applyNumberFormat="1" applyFont="1" applyFill="1" applyBorder="1" applyAlignment="1">
      <x:alignment horizontal="center" vertical="center" wrapText="1"/>
    </x:xf>
    <x:xf numFmtId="0" fontId="0" fillId="19" borderId="0" xfId="0" applyNumberFormat="1" applyFont="1" applyFill="1" applyBorder="1"/>
    <x:xf numFmtId="0" fontId="1" fillId="19" borderId="0" xfId="0" applyNumberFormat="1" applyFont="1" applyFill="1" applyBorder="1"/>
    <x:xf numFmtId="0" fontId="1" fillId="19" borderId="0" xfId="0" applyNumberFormat="1" applyFont="1" applyFill="1" applyBorder="1" applyAlignment="1">
      <x:alignment wrapText="1"/>
    </x:xf>
    <x:xf numFmtId="0" fontId="1" fillId="19" borderId="0" xfId="0" applyNumberFormat="1" applyFont="1" applyFill="1" applyBorder="1" applyAlignment="1">
      <x:alignment horizontal="center" wrapText="1"/>
    </x:xf>
    <x:xf numFmtId="0" fontId="1" fillId="19" borderId="0" xfId="0" applyNumberFormat="1" applyFont="1" applyFill="1" applyBorder="1" applyAlignment="1">
      <x:alignment horizontal="center" vertical="center" wrapText="1"/>
    </x:xf>
    <x:xf numFmtId="0" fontId="0" fillId="20" borderId="5" xfId="0" applyNumberFormat="1" applyFont="1" applyFill="1" applyBorder="1" applyAlignment="1">
      <x:alignment vertical="center" wrapText="1"/>
    </x:xf>
    <x:xf numFmtId="0" fontId="0" fillId="20" borderId="6" xfId="0" applyNumberFormat="1" applyFont="1" applyFill="1" applyBorder="1" applyAlignment="1">
      <x:alignment vertical="center" wrapText="1"/>
    </x:xf>
    <x:xf numFmtId="0" fontId="0" fillId="20" borderId="7" xfId="0" applyNumberFormat="1" applyFont="1" applyFill="1" applyBorder="1" applyAlignment="1">
      <x:alignment vertical="center" wrapText="1"/>
    </x:xf>
    <x:xf numFmtId="200" fontId="0" fillId="0" borderId="5" xfId="0" applyNumberFormat="1" applyFont="1" applyFill="1" applyBorder="1" applyAlignment="1">
      <x:alignment horizontal="center" vertical="center" wrapText="1"/>
    </x:xf>
    <x:xf numFmtId="200" fontId="0" fillId="0" borderId="6" xfId="0" applyNumberFormat="1" applyFont="1" applyFill="1" applyBorder="1" applyAlignment="1">
      <x:alignment horizontal="center" vertical="center" wrapText="1"/>
    </x:xf>
    <x:xf numFmtId="200" fontId="0" fillId="0" borderId="7" xfId="0" applyNumberFormat="1" applyFont="1" applyFill="1" applyBorder="1" applyAlignment="1">
      <x:alignment horizontal="center" vertical="center" wrapText="1"/>
    </x:xf>
    <x:xf numFmtId="201" fontId="0" fillId="0" borderId="5" xfId="0" applyNumberFormat="1" applyFont="1" applyFill="1" applyBorder="1" applyAlignment="1">
      <x:alignment horizontal="center" vertical="center" wrapText="1"/>
    </x:xf>
    <x:xf numFmtId="201" fontId="0" fillId="0" borderId="6" xfId="0" applyNumberFormat="1" applyFont="1" applyFill="1" applyBorder="1" applyAlignment="1">
      <x:alignment horizontal="center" vertical="center" wrapText="1"/>
    </x:xf>
    <x:xf numFmtId="201" fontId="0" fillId="0" borderId="7" xfId="0" applyNumberFormat="1" applyFont="1" applyFill="1" applyBorder="1" applyAlignment="1">
      <x:alignment horizontal="center" vertical="center" wrapText="1"/>
    </x:xf>
    <x:xf numFmtId="0" fontId="0" fillId="21" borderId="0" xfId="0" applyNumberFormat="1" applyFont="1" applyFill="1" applyBorder="1"/>
    <x:xf numFmtId="0" fontId="1" fillId="21" borderId="0" xfId="0" applyNumberFormat="1" applyFont="1" applyFill="1" applyBorder="1"/>
    <x:xf numFmtId="0" fontId="1" fillId="21" borderId="0" xfId="0" applyNumberFormat="1" applyFont="1" applyFill="1" applyBorder="1" applyAlignment="1">
      <x:alignment horizontal="center"/>
    </x:xf>
    <x:xf numFmtId="0" fontId="1" fillId="21" borderId="0" xfId="0" applyNumberFormat="1" applyFont="1" applyFill="1" applyBorder="1" applyAlignment="1">
      <x:alignment horizontal="center" vertical="center"/>
    </x:xf>
    <x:xf numFmtId="0" fontId="0" fillId="22" borderId="0" xfId="0" applyNumberFormat="1" applyFont="1" applyFill="1" applyBorder="1"/>
    <x:xf numFmtId="0" fontId="4" fillId="22" borderId="0" xfId="0" applyNumberFormat="1" applyFont="1" applyFill="1" applyBorder="1"/>
    <x:xf numFmtId="0" fontId="4" fillId="22" borderId="0" xfId="0" applyNumberFormat="1" applyFont="1" applyFill="1" applyBorder="1" applyAlignment="1">
      <x:alignment vertical="center"/>
    </x:xf>
    <x:xf numFmtId="0" fontId="0" fillId="23" borderId="0" xfId="0" applyNumberFormat="1" applyFont="1" applyFill="1" applyBorder="1"/>
    <x:xf numFmtId="0" fontId="3" fillId="23" borderId="0" xfId="0" applyNumberFormat="1" applyFont="1" applyFill="1" applyBorder="1"/>
    <x:xf numFmtId="0" fontId="3" fillId="23" borderId="0" xfId="0" applyNumberFormat="1" applyFont="1" applyFill="1" applyBorder="1" applyAlignment="1">
      <x:alignment horizontal="center"/>
    </x:xf>
    <x:xf numFmtId="0" fontId="3" fillId="23" borderId="0" xfId="0" applyNumberFormat="1" applyFont="1" applyFill="1" applyBorder="1" applyAlignment="1">
      <x:alignment horizontal="center" vertical="center"/>
    </x:xf>
    <x:xf numFmtId="0" fontId="0" fillId="24" borderId="0" xfId="0" applyNumberFormat="1" applyFont="1" applyFill="1" applyBorder="1"/>
    <x:xf numFmtId="0" fontId="0" fillId="24" borderId="0" xfId="0" applyNumberFormat="1" applyFont="1" applyFill="1" applyBorder="1" applyAlignment="1">
      <x:alignment wrapText="1"/>
    </x:xf>
    <x:xf numFmtId="0" fontId="0" fillId="24" borderId="0" xfId="0" applyNumberFormat="1" applyFont="1" applyFill="1" applyBorder="1" applyAlignment="1">
      <x:alignment vertical="center" wrapText="1"/>
    </x:xf>
    <x:xf numFmtId="0" fontId="1" fillId="21" borderId="1" xfId="0" applyNumberFormat="1" applyFont="1" applyFill="1" applyBorder="1" applyAlignment="1">
      <x:alignment horizontal="center" vertical="center"/>
    </x:xf>
    <x:xf numFmtId="0" fontId="4" fillId="22" borderId="1" xfId="0" applyNumberFormat="1" applyFont="1" applyFill="1" applyBorder="1" applyAlignment="1">
      <x:alignment vertical="center"/>
    </x:xf>
    <x:xf numFmtId="0" fontId="3" fillId="23" borderId="1" xfId="0" applyNumberFormat="1" applyFont="1" applyFill="1" applyBorder="1" applyAlignment="1">
      <x:alignment horizontal="center" vertical="center"/>
    </x:xf>
    <x:xf numFmtId="0" fontId="0" fillId="24" borderId="1" xfId="0" applyNumberFormat="1" applyFont="1" applyFill="1" applyBorder="1" applyAlignment="1">
      <x:alignment vertical="center" wrapText="1"/>
    </x:xf>
    <x:xf numFmtId="202" fontId="3" fillId="23" borderId="1" xfId="0" applyNumberFormat="1" applyFont="1" applyFill="1" applyBorder="1" applyAlignment="1">
      <x:alignment horizontal="center" vertical="center"/>
    </x:xf>
    <x:xf numFmtId="0" fontId="0" fillId="25" borderId="0" xfId="0" applyNumberFormat="1" applyFont="1" applyFill="1" applyBorder="1"/>
    <x:xf numFmtId="0" fontId="1" fillId="25" borderId="0" xfId="0" applyNumberFormat="1" applyFont="1" applyFill="1" applyBorder="1"/>
    <x:xf numFmtId="0" fontId="1" fillId="25" borderId="0" xfId="0" applyNumberFormat="1" applyFont="1" applyFill="1" applyBorder="1" applyAlignment="1">
      <x:alignment horizontal="center"/>
    </x:xf>
    <x:xf numFmtId="0" fontId="1" fillId="25" borderId="0" xfId="0" applyNumberFormat="1" applyFont="1" applyFill="1" applyBorder="1" applyAlignment="1">
      <x:alignment horizontal="center" vertical="center"/>
    </x:xf>
    <x:xf numFmtId="0" fontId="0" fillId="26" borderId="0" xfId="0" applyNumberFormat="1" applyFont="1" applyFill="1" applyBorder="1"/>
    <x:xf numFmtId="0" fontId="4" fillId="26" borderId="0" xfId="0" applyNumberFormat="1" applyFont="1" applyFill="1" applyBorder="1"/>
    <x:xf numFmtId="0" fontId="4" fillId="26" borderId="0" xfId="0" applyNumberFormat="1" applyFont="1" applyFill="1" applyBorder="1" applyAlignment="1">
      <x:alignment vertical="center"/>
    </x:xf>
    <x:xf numFmtId="0" fontId="0" fillId="27" borderId="0" xfId="0" applyNumberFormat="1" applyFont="1" applyFill="1" applyBorder="1"/>
    <x:xf numFmtId="0" fontId="3" fillId="27" borderId="0" xfId="0" applyNumberFormat="1" applyFont="1" applyFill="1" applyBorder="1"/>
    <x:xf numFmtId="0" fontId="3" fillId="27" borderId="0" xfId="0" applyNumberFormat="1" applyFont="1" applyFill="1" applyBorder="1" applyAlignment="1">
      <x:alignment horizontal="center"/>
    </x:xf>
    <x:xf numFmtId="0" fontId="3" fillId="27" borderId="0" xfId="0" applyNumberFormat="1" applyFont="1" applyFill="1" applyBorder="1" applyAlignment="1">
      <x:alignment horizontal="center" vertical="center"/>
    </x:xf>
    <x:xf numFmtId="0" fontId="0" fillId="28" borderId="0" xfId="0" applyNumberFormat="1" applyFont="1" applyFill="1" applyBorder="1"/>
    <x:xf numFmtId="0" fontId="0" fillId="28" borderId="0" xfId="0" applyNumberFormat="1" applyFont="1" applyFill="1" applyBorder="1" applyAlignment="1">
      <x:alignment wrapText="1"/>
    </x:xf>
    <x:xf numFmtId="0" fontId="0" fillId="28" borderId="0" xfId="0" applyNumberFormat="1" applyFont="1" applyFill="1" applyBorder="1" applyAlignment="1">
      <x:alignment vertical="center" wrapText="1"/>
    </x:xf>
    <x:xf numFmtId="0" fontId="1" fillId="25" borderId="1" xfId="0" applyNumberFormat="1" applyFont="1" applyFill="1" applyBorder="1" applyAlignment="1">
      <x:alignment horizontal="center" vertical="center"/>
    </x:xf>
    <x:xf numFmtId="0" fontId="4" fillId="26" borderId="1" xfId="0" applyNumberFormat="1" applyFont="1" applyFill="1" applyBorder="1" applyAlignment="1">
      <x:alignment vertical="center"/>
    </x:xf>
    <x:xf numFmtId="0" fontId="3" fillId="27" borderId="1" xfId="0" applyNumberFormat="1" applyFont="1" applyFill="1" applyBorder="1" applyAlignment="1">
      <x:alignment horizontal="center" vertical="center"/>
    </x:xf>
    <x:xf numFmtId="0" fontId="0" fillId="28" borderId="1" xfId="0" applyNumberFormat="1" applyFont="1" applyFill="1" applyBorder="1" applyAlignment="1">
      <x:alignment vertical="center" wrapText="1"/>
    </x:xf>
    <x:xf numFmtId="200" fontId="3" fillId="27" borderId="1" xfId="0" applyNumberFormat="1" applyFont="1" applyFill="1" applyBorder="1" applyAlignment="1">
      <x:alignment horizontal="center" vertical="center"/>
    </x:xf>
    <x:xf numFmtId="202" fontId="3" fillId="27" borderId="1" xfId="0" applyNumberFormat="1" applyFont="1" applyFill="1" applyBorder="1" applyAlignment="1">
      <x:alignment horizontal="center" vertical="center"/>
    </x:xf>
    <x:xf numFmtId="0" fontId="0" fillId="29" borderId="0" xfId="0" applyNumberFormat="1" applyFont="1" applyFill="1" applyBorder="1"/>
    <x:xf numFmtId="0" fontId="1" fillId="29" borderId="0" xfId="0" applyNumberFormat="1" applyFont="1" applyFill="1" applyBorder="1"/>
    <x:xf numFmtId="0" fontId="1" fillId="29" borderId="0" xfId="0" applyNumberFormat="1" applyFont="1" applyFill="1" applyBorder="1" applyAlignment="1">
      <x:alignment horizontal="center"/>
    </x:xf>
    <x:xf numFmtId="0" fontId="1" fillId="29" borderId="0" xfId="0" applyNumberFormat="1" applyFont="1" applyFill="1" applyBorder="1" applyAlignment="1">
      <x:alignment horizontal="center" vertical="center"/>
    </x:xf>
    <x:xf numFmtId="0" fontId="0" fillId="30" borderId="0" xfId="0" applyNumberFormat="1" applyFont="1" applyFill="1" applyBorder="1"/>
    <x:xf numFmtId="0" fontId="5" fillId="30" borderId="0" xfId="0" applyNumberFormat="1" applyFont="1" applyFill="1" applyBorder="1"/>
    <x:xf numFmtId="0" fontId="5" fillId="30" borderId="0" xfId="0" applyNumberFormat="1" applyFont="1" applyFill="1" applyBorder="1" applyAlignment="1">
      <x:alignment vertical="center"/>
    </x:xf>
    <x:xf numFmtId="0" fontId="0" fillId="31" borderId="0" xfId="0" applyNumberFormat="1" applyFont="1" applyFill="1" applyBorder="1"/>
    <x:xf numFmtId="0" fontId="0" fillId="31" borderId="0" xfId="0" applyNumberFormat="1" applyFont="1" applyFill="1" applyBorder="1" applyAlignment="1">
      <x:alignment wrapText="1"/>
    </x:xf>
    <x:xf numFmtId="0" fontId="0" fillId="31" borderId="0" xfId="0" applyNumberFormat="1" applyFont="1" applyFill="1" applyBorder="1" applyAlignment="1">
      <x:alignment vertical="center" wrapText="1"/>
    </x:xf>
    <x:xf numFmtId="0" fontId="1" fillId="29" borderId="1" xfId="0" applyNumberFormat="1" applyFont="1" applyFill="1" applyBorder="1" applyAlignment="1">
      <x:alignment horizontal="center" vertical="center"/>
    </x:xf>
    <x:xf numFmtId="0" fontId="5" fillId="30" borderId="1" xfId="0" applyNumberFormat="1" applyFont="1" applyFill="1" applyBorder="1" applyAlignment="1">
      <x:alignment vertical="center"/>
    </x:xf>
    <x:xf numFmtId="0" fontId="0" fillId="31" borderId="1" xfId="0" applyNumberFormat="1" applyFont="1" applyFill="1" applyBorder="1" applyAlignment="1">
      <x:alignment vertical="center" wrapText="1"/>
    </x:xf>
    <x:xf numFmtId="0" fontId="1" fillId="32" borderId="2" xfId="0" applyNumberFormat="1" applyFont="1" applyFill="1" applyBorder="1" applyAlignment="1">
      <x:alignment horizontal="center" vertical="center" wrapText="1"/>
    </x:xf>
    <x:xf numFmtId="0" fontId="1" fillId="32" borderId="3" xfId="0" applyNumberFormat="1" applyFont="1" applyFill="1" applyBorder="1" applyAlignment="1">
      <x:alignment horizontal="center" vertical="center" wrapText="1"/>
    </x:xf>
    <x:xf numFmtId="0" fontId="1" fillId="32" borderId="4" xfId="0" applyNumberFormat="1" applyFont="1" applyFill="1" applyBorder="1" applyAlignment="1">
      <x:alignment horizontal="center" vertical="center" wrapText="1"/>
    </x:xf>
    <x:xf numFmtId="0" fontId="0" fillId="32" borderId="0" xfId="0" applyNumberFormat="1" applyFont="1" applyFill="1" applyBorder="1"/>
    <x:xf numFmtId="0" fontId="1" fillId="32" borderId="0" xfId="0" applyNumberFormat="1" applyFont="1" applyFill="1" applyBorder="1"/>
    <x:xf numFmtId="0" fontId="1" fillId="32" borderId="0" xfId="0" applyNumberFormat="1" applyFont="1" applyFill="1" applyBorder="1" applyAlignment="1">
      <x:alignment wrapText="1"/>
    </x:xf>
    <x:xf numFmtId="0" fontId="1" fillId="32" borderId="0" xfId="0" applyNumberFormat="1" applyFont="1" applyFill="1" applyBorder="1" applyAlignment="1">
      <x:alignment horizontal="center" wrapText="1"/>
    </x:xf>
    <x:xf numFmtId="0" fontId="1" fillId="32" borderId="0" xfId="0" applyNumberFormat="1" applyFont="1" applyFill="1" applyBorder="1" applyAlignment="1">
      <x:alignment horizontal="center" vertical="center" wrapText="1"/>
    </x:xf>
    <x:xf numFmtId="200" fontId="0" fillId="33" borderId="5" xfId="0" applyNumberFormat="1" applyFont="1" applyFill="1" applyBorder="1" applyAlignment="1">
      <x:alignment horizontal="center" vertical="center" wrapText="1"/>
    </x:xf>
    <x:xf numFmtId="200" fontId="0" fillId="33" borderId="6" xfId="0" applyNumberFormat="1" applyFont="1" applyFill="1" applyBorder="1" applyAlignment="1">
      <x:alignment horizontal="center" vertical="center" wrapText="1"/>
    </x:xf>
    <x:xf numFmtId="0" fontId="0" fillId="34" borderId="5" xfId="0" applyNumberFormat="1" applyFont="1" applyFill="1" applyBorder="1" applyAlignment="1">
      <x:alignment vertical="center" wrapText="1"/>
    </x:xf>
    <x:xf numFmtId="0" fontId="0" fillId="34" borderId="6" xfId="0" applyNumberFormat="1" applyFont="1" applyFill="1" applyBorder="1" applyAlignment="1">
      <x:alignment vertical="center" wrapText="1"/>
    </x:xf>
    <x:xf numFmtId="0" fontId="0" fillId="33" borderId="5" xfId="0" applyNumberFormat="1" applyFont="1" applyFill="1" applyBorder="1" applyAlignment="1">
      <x:alignment vertical="center" wrapText="1"/>
    </x:xf>
    <x:xf numFmtId="0" fontId="0" fillId="33" borderId="6" xfId="0" applyNumberFormat="1" applyFont="1" applyFill="1" applyBorder="1" applyAlignment="1">
      <x:alignment vertical="center" wrapText="1"/>
    </x:xf>
    <x:xf numFmtId="0" fontId="0" fillId="35" borderId="5" xfId="0" applyNumberFormat="1" applyFont="1" applyFill="1" applyBorder="1" applyAlignment="1">
      <x:alignment vertical="center" wrapText="1"/>
    </x:xf>
    <x:xf numFmtId="0" fontId="0" fillId="35" borderId="6" xfId="0" applyNumberFormat="1" applyFont="1" applyFill="1" applyBorder="1" applyAlignment="1">
      <x:alignment vertical="center" wrapText="1"/>
    </x:xf>
    <x:xf numFmtId="0" fontId="0" fillId="36" borderId="0" xfId="0" applyNumberFormat="1" applyFont="1" applyFill="1" applyBorder="1"/>
    <x:xf numFmtId="0" fontId="1" fillId="36" borderId="0" xfId="0" applyNumberFormat="1" applyFont="1" applyFill="1" applyBorder="1"/>
    <x:xf numFmtId="0" fontId="1" fillId="36" borderId="0" xfId="0" applyNumberFormat="1" applyFont="1" applyFill="1" applyBorder="1" applyAlignment="1">
      <x:alignment wrapText="1"/>
    </x:xf>
    <x:xf numFmtId="0" fontId="1" fillId="36" borderId="0" xfId="0" applyNumberFormat="1" applyFont="1" applyFill="1" applyBorder="1" applyAlignment="1">
      <x:alignment horizontal="center" wrapText="1"/>
    </x:xf>
    <x:xf numFmtId="0" fontId="1" fillId="36" borderId="0" xfId="0" applyNumberFormat="1" applyFont="1" applyFill="1" applyBorder="1" applyAlignment="1">
      <x:alignment horizontal="center" vertical="center" wrapText="1"/>
    </x:xf>
    <x:xf numFmtId="0" fontId="0" fillId="37" borderId="5" xfId="0" applyNumberFormat="1" applyFont="1" applyFill="1" applyBorder="1" applyAlignment="1">
      <x:alignment vertical="center" wrapText="1"/>
    </x:xf>
    <x:xf numFmtId="0" fontId="0" fillId="37" borderId="6" xfId="0" applyNumberFormat="1" applyFont="1" applyFill="1" applyBorder="1" applyAlignment="1">
      <x:alignment vertical="center" wrapText="1"/>
    </x:xf>
    <x:xf numFmtId="0" fontId="0" fillId="37" borderId="7" xfId="0" applyNumberFormat="1" applyFont="1" applyFill="1" applyBorder="1" applyAlignment="1">
      <x:alignment vertical="center" wrapText="1"/>
    </x:xf>
    <x:xf numFmtId="0" fontId="0" fillId="38" borderId="0" xfId="0" applyNumberFormat="1" applyFont="1" applyFill="1" applyBorder="1"/>
    <x:xf numFmtId="0" fontId="1" fillId="38" borderId="0" xfId="0" applyNumberFormat="1" applyFont="1" applyFill="1" applyBorder="1"/>
    <x:xf numFmtId="0" fontId="1" fillId="38" borderId="0" xfId="0" applyNumberFormat="1" applyFont="1" applyFill="1" applyBorder="1" applyAlignment="1">
      <x:alignment wrapText="1"/>
    </x:xf>
    <x:xf numFmtId="0" fontId="1" fillId="38" borderId="0" xfId="0" applyNumberFormat="1" applyFont="1" applyFill="1" applyBorder="1" applyAlignment="1">
      <x:alignment horizontal="center" wrapText="1"/>
    </x:xf>
    <x:xf numFmtId="0" fontId="1" fillId="38" borderId="0" xfId="0" applyNumberFormat="1" applyFont="1" applyFill="1" applyBorder="1" applyAlignment="1">
      <x:alignment horizontal="center" vertical="center" wrapText="1"/>
    </x:xf>
    <x:xf numFmtId="0" fontId="0" fillId="39" borderId="5" xfId="0" applyNumberFormat="1" applyFont="1" applyFill="1" applyBorder="1" applyAlignment="1">
      <x:alignment vertical="center" wrapText="1"/>
    </x:xf>
    <x:xf numFmtId="0" fontId="0" fillId="39" borderId="6" xfId="0" applyNumberFormat="1" applyFont="1" applyFill="1" applyBorder="1" applyAlignment="1">
      <x:alignment vertical="center" wrapText="1"/>
    </x:xf>
    <x:xf numFmtId="0" fontId="0" fillId="39" borderId="7" xfId="0" applyNumberFormat="1" applyFont="1" applyFill="1" applyBorder="1" applyAlignment="1">
      <x:alignment vertical="center" wrapText="1"/>
    </x:xf>
    <x:xf numFmtId="0" fontId="0" fillId="40" borderId="0" xfId="0" applyNumberFormat="1" applyFont="1" applyFill="1" applyBorder="1"/>
    <x:xf numFmtId="0" fontId="1" fillId="40" borderId="0" xfId="0" applyNumberFormat="1" applyFont="1" applyFill="1" applyBorder="1"/>
    <x:xf numFmtId="0" fontId="1" fillId="40" borderId="0" xfId="0" applyNumberFormat="1" applyFont="1" applyFill="1" applyBorder="1" applyAlignment="1">
      <x:alignment wrapText="1"/>
    </x:xf>
    <x:xf numFmtId="0" fontId="1" fillId="40" borderId="0" xfId="0" applyNumberFormat="1" applyFont="1" applyFill="1" applyBorder="1" applyAlignment="1">
      <x:alignment horizontal="center" wrapText="1"/>
    </x:xf>
    <x:xf numFmtId="0" fontId="1" fillId="40" borderId="0" xfId="0" applyNumberFormat="1" applyFont="1" applyFill="1" applyBorder="1" applyAlignment="1">
      <x:alignment horizontal="center" vertical="center" wrapText="1"/>
    </x:xf>
    <x:xf numFmtId="0" fontId="0" fillId="41" borderId="5" xfId="0" applyNumberFormat="1" applyFont="1" applyFill="1" applyBorder="1" applyAlignment="1">
      <x:alignment vertical="center" wrapText="1"/>
    </x:xf>
    <x:xf numFmtId="0" fontId="0" fillId="41" borderId="6" xfId="0" applyNumberFormat="1" applyFont="1" applyFill="1" applyBorder="1" applyAlignment="1">
      <x:alignment vertical="center" wrapText="1"/>
    </x:xf>
    <x:xf numFmtId="0" fontId="0" fillId="41" borderId="7" xfId="0" applyNumberFormat="1" applyFont="1" applyFill="1" applyBorder="1" applyAlignment="1">
      <x:alignment vertical="center" wrapText="1"/>
    </x:xf>
    <x:xf numFmtId="0" fontId="1" fillId="40" borderId="0" xfId="0" applyNumberFormat="1" applyFont="1" applyFill="1" applyBorder="1" applyAlignment="1">
      <x:alignment horizontal="center"/>
    </x:xf>
    <x:xf numFmtId="0" fontId="0" fillId="42" borderId="1" xfId="0" applyNumberFormat="1" applyFont="1" applyFill="1" applyBorder="1" applyAlignment="1">
      <x:alignment vertical="center"/>
    </x:xf>
    <x:xf numFmtId="0" fontId="3" fillId="42" borderId="1" xfId="0" applyNumberFormat="1" applyFont="1" applyFill="1" applyBorder="1" applyAlignment="1">
      <x:alignment vertical="center"/>
    </x:xf>
    <x:xf numFmtId="200" fontId="3" fillId="42" borderId="1" xfId="0" applyNumberFormat="1" applyFont="1" applyFill="1" applyBorder="1" applyAlignment="1">
      <x:alignment vertical="center"/>
    </x:xf>
    <x:xf numFmtId="200" fontId="3" fillId="42" borderId="1" xfId="0" applyNumberFormat="1" applyFont="1" applyFill="1" applyBorder="1" applyAlignment="1">
      <x:alignment horizontal="center" vertical="center"/>
    </x:xf>
    <x:xf numFmtId="0" fontId="0" fillId="43" borderId="0" xfId="0" applyNumberFormat="1" applyFont="1" applyFill="1" applyBorder="1"/>
    <x:xf numFmtId="0" fontId="1" fillId="43" borderId="0" xfId="0" applyNumberFormat="1" applyFont="1" applyFill="1" applyBorder="1"/>
    <x:xf numFmtId="0" fontId="1" fillId="43" borderId="0" xfId="0" applyNumberFormat="1" applyFont="1" applyFill="1" applyBorder="1" applyAlignment="1">
      <x:alignment horizontal="center"/>
    </x:xf>
    <x:xf numFmtId="0" fontId="0" fillId="44" borderId="1" xfId="0" applyNumberFormat="1" applyFont="1" applyFill="1" applyBorder="1" applyAlignment="1">
      <x:alignment vertical="center" wrapText="1"/>
    </x:xf>
    <x:xf numFmtId="0" fontId="0" fillId="45" borderId="0" xfId="0" applyNumberFormat="1" applyFont="1" applyFill="1" applyBorder="1"/>
    <x:xf numFmtId="0" fontId="1" fillId="45" borderId="0" xfId="0" applyNumberFormat="1" applyFont="1" applyFill="1" applyBorder="1"/>
    <x:xf numFmtId="0" fontId="1" fillId="45" borderId="1" xfId="0" applyNumberFormat="1" applyFont="1" applyFill="1" applyBorder="1"/>
    <x:xf numFmtId="0" fontId="1" fillId="45" borderId="1" xfId="0" applyNumberFormat="1" applyFont="1" applyFill="1" applyBorder="1" applyAlignment="1">
      <x:alignment horizontal="center"/>
    </x:xf>
    <x:xf numFmtId="0" fontId="1" fillId="45" borderId="1" xfId="0" applyNumberFormat="1" applyFont="1" applyFill="1" applyBorder="1" applyAlignment="1">
      <x:alignment horizontal="center" vertical="center"/>
    </x:xf>
    <x:xf numFmtId="0" fontId="0" fillId="46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 applyAlignment="1">
      <x:alignment horizontal="center" vertical="center"/>
    </x:xf>
    <x:xf numFmtId="201" fontId="0" fillId="0" borderId="1" xfId="0" applyNumberFormat="1" applyFont="1" applyFill="1" applyBorder="1" applyAlignment="1">
      <x:alignment horizontal="center" vertical="center"/>
    </x:xf>
    <x:xf numFmtId="0" fontId="0" fillId="47" borderId="0" xfId="0" applyNumberFormat="1" applyFont="1" applyFill="1" applyBorder="1"/>
    <x:xf numFmtId="0" fontId="1" fillId="47" borderId="0" xfId="0" applyNumberFormat="1" applyFont="1" applyFill="1" applyBorder="1"/>
    <x:xf numFmtId="0" fontId="1" fillId="47" borderId="0" xfId="0" applyNumberFormat="1" applyFont="1" applyFill="1" applyBorder="1" applyAlignment="1">
      <x:alignment wrapText="1"/>
    </x:xf>
    <x:xf numFmtId="0" fontId="1" fillId="47" borderId="0" xfId="0" applyNumberFormat="1" applyFont="1" applyFill="1" applyBorder="1" applyAlignment="1">
      <x:alignment horizontal="center" wrapText="1"/>
    </x:xf>
    <x:xf numFmtId="0" fontId="1" fillId="47" borderId="0" xfId="0" applyNumberFormat="1" applyFont="1" applyFill="1" applyBorder="1" applyAlignment="1">
      <x:alignment horizontal="center" vertical="center" wrapText="1"/>
    </x:xf>
    <x:xf numFmtId="0" fontId="0" fillId="48" borderId="5" xfId="0" applyNumberFormat="1" applyFont="1" applyFill="1" applyBorder="1" applyAlignment="1">
      <x:alignment vertical="center" wrapText="1"/>
    </x:xf>
    <x:xf numFmtId="0" fontId="0" fillId="48" borderId="6" xfId="0" applyNumberFormat="1" applyFont="1" applyFill="1" applyBorder="1" applyAlignment="1">
      <x:alignment vertical="center" wrapText="1"/>
    </x:xf>
    <x:xf numFmtId="0" fontId="0" fillId="48" borderId="7" xfId="0" applyNumberFormat="1" applyFont="1" applyFill="1" applyBorder="1" applyAlignment="1">
      <x:alignment vertical="center" wrapText="1"/>
    </x:xf>
    <x:xf numFmtId="0" fontId="0" fillId="49" borderId="5" xfId="0" applyNumberFormat="1" applyFont="1" applyFill="1" applyBorder="1" applyAlignment="1">
      <x:alignment vertical="center" wrapText="1"/>
    </x:xf>
    <x:xf numFmtId="0" fontId="0" fillId="49" borderId="6" xfId="0" applyNumberFormat="1" applyFont="1" applyFill="1" applyBorder="1" applyAlignment="1">
      <x:alignment vertical="center" wrapText="1"/>
    </x:xf>
    <x:xf numFmtId="0" fontId="0" fillId="49" borderId="7" xfId="0" applyNumberFormat="1" applyFont="1" applyFill="1" applyBorder="1" applyAlignment="1">
      <x:alignment vertical="center" wrapText="1"/>
    </x:xf>
    <x:xf numFmtId="0" fontId="0" fillId="50" borderId="0" xfId="0" applyNumberFormat="1" applyFont="1" applyFill="1" applyBorder="1"/>
    <x:xf numFmtId="0" fontId="1" fillId="50" borderId="0" xfId="0" applyNumberFormat="1" applyFont="1" applyFill="1" applyBorder="1"/>
    <x:xf numFmtId="0" fontId="1" fillId="50" borderId="0" xfId="0" applyNumberFormat="1" applyFont="1" applyFill="1" applyBorder="1" applyAlignment="1">
      <x:alignment horizontal="center"/>
    </x:xf>
    <x:xf numFmtId="0" fontId="1" fillId="50" borderId="0" xfId="0" applyNumberFormat="1" applyFont="1" applyFill="1" applyBorder="1" applyAlignment="1">
      <x:alignment horizontal="center" vertical="center"/>
    </x:xf>
    <x:xf numFmtId="0" fontId="0" fillId="51" borderId="1" xfId="0" applyNumberFormat="1" applyFont="1" applyFill="1" applyBorder="1" applyAlignment="1">
      <x:alignment vertical="center" wrapText="1"/>
    </x:xf>
    <x:xf numFmtId="0" fontId="0" fillId="5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53" borderId="0" xfId="0" applyNumberFormat="1" applyFont="1" applyFill="1" applyBorder="1"/>
    <x:xf numFmtId="0" fontId="1" fillId="53" borderId="0" xfId="0" applyNumberFormat="1" applyFont="1" applyFill="1" applyBorder="1"/>
    <x:xf numFmtId="0" fontId="1" fillId="53" borderId="0" xfId="0" applyNumberFormat="1" applyFont="1" applyFill="1" applyBorder="1" applyAlignment="1">
      <x:alignment horizontal="center"/>
    </x:xf>
    <x:xf numFmtId="0" fontId="1" fillId="53" borderId="0" xfId="0" applyNumberFormat="1" applyFont="1" applyFill="1" applyBorder="1" applyAlignment="1">
      <x:alignment horizontal="center" vertical="center"/>
    </x:xf>
    <x:xf numFmtId="0" fontId="0" fillId="54" borderId="1" xfId="0" applyNumberFormat="1" applyFont="1" applyFill="1" applyBorder="1" applyAlignment="1">
      <x:alignment vertical="center" wrapText="1"/>
    </x:xf>
    <x:xf numFmtId="0" fontId="0" fillId="54" borderId="5" xfId="0" applyNumberFormat="1" applyFont="1" applyFill="1" applyBorder="1" applyAlignment="1">
      <x:alignment vertical="center" wrapText="1"/>
    </x:xf>
    <x:xf numFmtId="0" fontId="0" fillId="54" borderId="6" xfId="0" applyNumberFormat="1" applyFont="1" applyFill="1" applyBorder="1" applyAlignment="1">
      <x:alignment vertical="center" wrapText="1"/>
    </x:xf>
    <x:xf numFmtId="0" fontId="0" fillId="54" borderId="7" xfId="0" applyNumberFormat="1" applyFont="1" applyFill="1" applyBorder="1" applyAlignment="1">
      <x:alignment vertical="center" wrapText="1"/>
    </x:xf>
    <x:xf numFmtId="0" fontId="0" fillId="55" borderId="1" xfId="0" applyNumberFormat="1" applyFont="1" applyFill="1" applyBorder="1"/>
    <x:xf numFmtId="200" fontId="0" fillId="55" borderId="1" xfId="0" applyNumberFormat="1" applyFont="1" applyFill="1" applyBorder="1"/>
    <x:xf numFmtId="200" fontId="0" fillId="55" borderId="1" xfId="0" applyNumberFormat="1" applyFont="1" applyFill="1" applyBorder="1" applyAlignment="1">
      <x:alignment horizontal="center"/>
    </x:xf>
    <x:xf numFmtId="0" fontId="0" fillId="56" borderId="0" xfId="0" applyNumberFormat="1" applyFont="1" applyFill="1" applyBorder="1"/>
    <x:xf numFmtId="0" fontId="1" fillId="56" borderId="0" xfId="0" applyNumberFormat="1" applyFont="1" applyFill="1" applyBorder="1"/>
    <x:xf numFmtId="0" fontId="1" fillId="56" borderId="0" xfId="0" applyNumberFormat="1" applyFont="1" applyFill="1" applyBorder="1" applyAlignment="1">
      <x:alignment horizontal="center"/>
    </x:xf>
    <x:xf numFmtId="0" fontId="1" fillId="56" borderId="0" xfId="0" applyNumberFormat="1" applyFont="1" applyFill="1" applyBorder="1" applyAlignment="1">
      <x:alignment horizontal="center" vertical="center"/>
    </x:xf>
    <x:xf numFmtId="0" fontId="0" fillId="57" borderId="1" xfId="0" applyNumberFormat="1" applyFont="1" applyFill="1" applyBorder="1" applyAlignment="1">
      <x:alignment vertical="center" wrapText="1"/>
    </x:xf>
    <x:xf numFmtId="0" fontId="0" fillId="57" borderId="5" xfId="0" applyNumberFormat="1" applyFont="1" applyFill="1" applyBorder="1" applyAlignment="1">
      <x:alignment vertical="center" wrapText="1"/>
    </x:xf>
    <x:xf numFmtId="0" fontId="0" fillId="57" borderId="6" xfId="0" applyNumberFormat="1" applyFont="1" applyFill="1" applyBorder="1" applyAlignment="1">
      <x:alignment vertical="center" wrapText="1"/>
    </x:xf>
    <x:xf numFmtId="0" fontId="0" fillId="57" borderId="7" xfId="0" applyNumberFormat="1" applyFont="1" applyFill="1" applyBorder="1" applyAlignment="1">
      <x:alignment vertical="center" wrapText="1"/>
    </x:xf>
    <x:xf numFmtId="0" fontId="0" fillId="58" borderId="1" xfId="0" applyNumberFormat="1" applyFont="1" applyFill="1" applyBorder="1"/>
    <x:xf numFmtId="200" fontId="0" fillId="58" borderId="1" xfId="0" applyNumberFormat="1" applyFont="1" applyFill="1" applyBorder="1"/>
    <x:xf numFmtId="200" fontId="0" fillId="58" borderId="1" xfId="0" applyNumberFormat="1" applyFont="1" applyFill="1" applyBorder="1" applyAlignment="1">
      <x:alignment horizontal="center"/>
    </x:xf>
    <x:xf numFmtId="0" fontId="0" fillId="59" borderId="5" xfId="0" applyNumberFormat="1" applyFont="1" applyFill="1" applyBorder="1" applyAlignment="1">
      <x:alignment vertical="center" wrapText="1"/>
    </x:xf>
    <x:xf numFmtId="0" fontId="0" fillId="59" borderId="6" xfId="0" applyNumberFormat="1" applyFont="1" applyFill="1" applyBorder="1" applyAlignment="1">
      <x:alignment vertical="center" wrapText="1"/>
    </x:xf>
    <x:xf numFmtId="0" fontId="0" fillId="59" borderId="7" xfId="0" applyNumberFormat="1" applyFont="1" applyFill="1" applyBorder="1" applyAlignment="1">
      <x:alignment vertical="center" wrapText="1"/>
    </x:xf>
    <x:xf numFmtId="0" fontId="0" fillId="60" borderId="0" xfId="0" applyNumberFormat="1" applyFont="1" applyFill="1" applyBorder="1"/>
    <x:xf numFmtId="0" fontId="1" fillId="60" borderId="0" xfId="0" applyNumberFormat="1" applyFont="1" applyFill="1" applyBorder="1"/>
    <x:xf numFmtId="0" fontId="1" fillId="60" borderId="0" xfId="0" applyNumberFormat="1" applyFont="1" applyFill="1" applyBorder="1" applyAlignment="1">
      <x:alignment horizontal="center"/>
    </x:xf>
    <x:xf numFmtId="0" fontId="0" fillId="61" borderId="1" xfId="0" applyNumberFormat="1" applyFont="1" applyFill="1" applyBorder="1" applyAlignment="1">
      <x:alignment vertical="center"/>
    </x:xf>
    <x:xf numFmtId="200" fontId="0" fillId="61" borderId="1" xfId="0" applyNumberFormat="1" applyFont="1" applyFill="1" applyBorder="1" applyAlignment="1">
      <x:alignment vertical="center"/>
    </x:xf>
    <x:xf numFmtId="200" fontId="0" fillId="61" borderId="1" xfId="0" applyNumberFormat="1" applyFont="1" applyFill="1" applyBorder="1" applyAlignment="1">
      <x:alignment horizontal="center" vertical="center"/>
    </x:xf>
    <x:xf numFmtId="0" fontId="0" fillId="62" borderId="0" xfId="0" applyNumberFormat="1" applyFont="1" applyFill="1" applyBorder="1"/>
    <x:xf numFmtId="0" fontId="1" fillId="62" borderId="0" xfId="0" applyNumberFormat="1" applyFont="1" applyFill="1" applyBorder="1"/>
    <x:xf numFmtId="0" fontId="1" fillId="62" borderId="1" xfId="0" applyNumberFormat="1" applyFont="1" applyFill="1" applyBorder="1"/>
    <x:xf numFmtId="0" fontId="1" fillId="62" borderId="1" xfId="0" applyNumberFormat="1" applyFont="1" applyFill="1" applyBorder="1" applyAlignment="1">
      <x:alignment horizontal="center"/>
    </x:xf>
    <x:xf numFmtId="0" fontId="1" fillId="62" borderId="1" xfId="0" applyNumberFormat="1" applyFont="1" applyFill="1" applyBorder="1" applyAlignment="1">
      <x:alignment horizontal="center" vertical="center"/>
    </x:xf>
    <x:xf numFmtId="0" fontId="0" fillId="63" borderId="1" xfId="0" applyNumberFormat="1" applyFont="1" applyFill="1" applyBorder="1" applyAlignment="1">
      <x:alignment vertical="center"/>
    </x:xf>
    <x:xf numFmtId="0" fontId="0" fillId="64" borderId="0" xfId="0" applyNumberFormat="1" applyFont="1" applyFill="1" applyBorder="1"/>
    <x:xf numFmtId="0" fontId="1" fillId="64" borderId="0" xfId="0" applyNumberFormat="1" applyFont="1" applyFill="1" applyBorder="1"/>
    <x:xf numFmtId="0" fontId="1" fillId="64" borderId="0" xfId="0" applyNumberFormat="1" applyFont="1" applyFill="1" applyBorder="1" applyAlignment="1">
      <x:alignment horizontal="center"/>
    </x:xf>
    <x:xf numFmtId="0" fontId="1" fillId="64" borderId="0" xfId="0" applyNumberFormat="1" applyFont="1" applyFill="1" applyBorder="1" applyAlignment="1">
      <x:alignment horizontal="center" vertical="center"/>
    </x:xf>
    <x:xf numFmtId="0" fontId="0" fillId="65" borderId="1" xfId="0" applyNumberFormat="1" applyFont="1" applyFill="1" applyBorder="1" applyAlignment="1">
      <x:alignment vertical="center"/>
    </x:xf>
    <x:xf numFmtId="200" fontId="0" fillId="65" borderId="1" xfId="0" applyNumberFormat="1" applyFont="1" applyFill="1" applyBorder="1" applyAlignment="1">
      <x:alignment vertical="center"/>
    </x:xf>
    <x:xf numFmtId="200" fontId="0" fillId="65" borderId="1" xfId="0" applyNumberFormat="1" applyFont="1" applyFill="1" applyBorder="1" applyAlignment="1">
      <x:alignment horizontal="center" vertical="center"/>
    </x:xf>
    <x:xf numFmtId="0" fontId="0" fillId="66" borderId="0" xfId="0" applyNumberFormat="1" applyFont="1" applyFill="1" applyBorder="1"/>
    <x:xf numFmtId="0" fontId="0" fillId="66" borderId="1" xfId="0" applyNumberFormat="1" applyFont="1" applyFill="1" applyBorder="1"/>
    <x:xf numFmtId="0" fontId="0" fillId="66" borderId="1" xfId="0" applyNumberFormat="1" applyFont="1" applyFill="1" applyBorder="1" applyAlignment="1">
      <x:alignment wrapText="1"/>
    </x:xf>
    <x:xf numFmtId="0" fontId="0" fillId="66" borderId="1" xfId="0" applyNumberFormat="1" applyFont="1" applyFill="1" applyBorder="1" applyAlignment="1">
      <x:alignment vertical="center" wrapText="1"/>
    </x:xf>
    <x:xf numFmtId="0" fontId="0" fillId="67" borderId="0" xfId="0" applyNumberFormat="1" applyFont="1" applyFill="1" applyBorder="1"/>
    <x:xf numFmtId="0" fontId="1" fillId="67" borderId="0" xfId="0" applyNumberFormat="1" applyFont="1" applyFill="1" applyBorder="1"/>
    <x:xf numFmtId="0" fontId="1" fillId="67" borderId="0" xfId="0" applyNumberFormat="1" applyFont="1" applyFill="1" applyBorder="1" applyAlignment="1">
      <x:alignment horizontal="center"/>
    </x:xf>
    <x:xf numFmtId="0" fontId="1" fillId="67" borderId="0" xfId="0" applyNumberFormat="1" applyFont="1" applyFill="1" applyBorder="1" applyAlignment="1">
      <x:alignment horizontal="center" vertical="center"/>
    </x:xf>
    <x:xf numFmtId="0" fontId="0" fillId="68" borderId="1" xfId="0" applyNumberFormat="1" applyFont="1" applyFill="1" applyBorder="1" applyAlignment="1">
      <x:alignment vertical="center"/>
    </x:xf>
    <x:xf numFmtId="200" fontId="0" fillId="68" borderId="1" xfId="0" applyNumberFormat="1" applyFont="1" applyFill="1" applyBorder="1" applyAlignment="1">
      <x:alignment vertical="center"/>
    </x:xf>
    <x:xf numFmtId="200" fontId="0" fillId="68" borderId="1" xfId="0" applyNumberFormat="1" applyFont="1" applyFill="1" applyBorder="1" applyAlignment="1">
      <x:alignment horizontal="center" vertical="center"/>
    </x:xf>
    <x:xf numFmtId="0" fontId="0" fillId="69" borderId="0" xfId="0" applyNumberFormat="1" applyFont="1" applyFill="1" applyBorder="1"/>
    <x:xf numFmtId="0" fontId="0" fillId="69" borderId="1" xfId="0" applyNumberFormat="1" applyFont="1" applyFill="1" applyBorder="1"/>
    <x:xf numFmtId="0" fontId="0" fillId="69" borderId="1" xfId="0" applyNumberFormat="1" applyFont="1" applyFill="1" applyBorder="1" applyAlignment="1">
      <x:alignment wrapText="1"/>
    </x:xf>
    <x:xf numFmtId="0" fontId="0" fillId="69" borderId="1" xfId="0" applyNumberFormat="1" applyFont="1" applyFill="1" applyBorder="1" applyAlignment="1">
      <x:alignment vertical="center" wrapText="1"/>
    </x:xf>
    <x:xf numFmtId="0" fontId="0" fillId="70" borderId="0" xfId="0" applyNumberFormat="1" applyFont="1" applyFill="1" applyBorder="1"/>
    <x:xf numFmtId="0" fontId="1" fillId="70" borderId="0" xfId="0" applyNumberFormat="1" applyFont="1" applyFill="1" applyBorder="1"/>
    <x:xf numFmtId="0" fontId="1" fillId="70" borderId="0" xfId="0" applyNumberFormat="1" applyFont="1" applyFill="1" applyBorder="1" applyAlignment="1">
      <x:alignment wrapText="1"/>
    </x:xf>
    <x:xf numFmtId="0" fontId="1" fillId="70" borderId="0" xfId="0" applyNumberFormat="1" applyFont="1" applyFill="1" applyBorder="1" applyAlignment="1">
      <x:alignment horizontal="center" wrapText="1"/>
    </x:xf>
    <x:xf numFmtId="0" fontId="1" fillId="70" borderId="0" xfId="0" applyNumberFormat="1" applyFont="1" applyFill="1" applyBorder="1" applyAlignment="1">
      <x:alignment horizontal="center" vertical="center" wrapText="1"/>
    </x:xf>
    <x:xf numFmtId="0" fontId="0" fillId="71" borderId="5" xfId="0" applyNumberFormat="1" applyFont="1" applyFill="1" applyBorder="1" applyAlignment="1">
      <x:alignment vertical="center" wrapText="1"/>
    </x:xf>
    <x:xf numFmtId="0" fontId="0" fillId="71" borderId="6" xfId="0" applyNumberFormat="1" applyFont="1" applyFill="1" applyBorder="1" applyAlignment="1">
      <x:alignment vertical="center" wrapText="1"/>
    </x:xf>
    <x:xf numFmtId="0" fontId="0" fillId="71" borderId="7" xfId="0" applyNumberFormat="1" applyFont="1" applyFill="1" applyBorder="1" applyAlignment="1">
      <x:alignment vertical="center" wrapText="1"/>
    </x:xf>
    <x:xf numFmtId="0" fontId="0" fillId="72" borderId="5" xfId="0" applyNumberFormat="1" applyFont="1" applyFill="1" applyBorder="1" applyAlignment="1">
      <x:alignment vertical="center" wrapText="1"/>
    </x:xf>
    <x:xf numFmtId="0" fontId="0" fillId="72" borderId="6" xfId="0" applyNumberFormat="1" applyFont="1" applyFill="1" applyBorder="1" applyAlignment="1">
      <x:alignment vertical="center" wrapText="1"/>
    </x:xf>
    <x:xf numFmtId="0" fontId="0" fillId="72" borderId="7" xfId="0" applyNumberFormat="1" applyFont="1" applyFill="1" applyBorder="1" applyAlignment="1">
      <x:alignment vertical="center" wrapText="1"/>
    </x:xf>
    <x:xf numFmtId="200" fontId="0" fillId="72" borderId="5" xfId="0" applyNumberFormat="1" applyFont="1" applyFill="1" applyBorder="1" applyAlignment="1">
      <x:alignment vertical="center" wrapText="1"/>
    </x:xf>
    <x:xf numFmtId="200" fontId="0" fillId="72" borderId="6" xfId="0" applyNumberFormat="1" applyFont="1" applyFill="1" applyBorder="1" applyAlignment="1">
      <x:alignment vertical="center" wrapText="1"/>
    </x:xf>
    <x:xf numFmtId="200" fontId="0" fillId="72" borderId="7" xfId="0" applyNumberFormat="1" applyFont="1" applyFill="1" applyBorder="1" applyAlignment="1">
      <x:alignment vertical="center" wrapText="1"/>
    </x:xf>
    <x:xf numFmtId="200" fontId="0" fillId="72" borderId="5" xfId="0" applyNumberFormat="1" applyFont="1" applyFill="1" applyBorder="1" applyAlignment="1">
      <x:alignment horizontal="center" vertical="center" wrapText="1"/>
    </x:xf>
    <x:xf numFmtId="200" fontId="0" fillId="72" borderId="6" xfId="0" applyNumberFormat="1" applyFont="1" applyFill="1" applyBorder="1" applyAlignment="1">
      <x:alignment horizontal="center" vertical="center" wrapText="1"/>
    </x:xf>
    <x:xf numFmtId="200" fontId="0" fillId="72" borderId="7" xfId="0" applyNumberFormat="1" applyFont="1" applyFill="1" applyBorder="1" applyAlignment="1">
      <x:alignment horizontal="center" vertical="center" wrapText="1"/>
    </x:xf>
    <x:xf numFmtId="0" fontId="0" fillId="73" borderId="5" xfId="0" applyNumberFormat="1" applyFont="1" applyFill="1" applyBorder="1" applyAlignment="1">
      <x:alignment vertical="center" wrapText="1"/>
    </x:xf>
    <x:xf numFmtId="0" fontId="0" fillId="73" borderId="6" xfId="0" applyNumberFormat="1" applyFont="1" applyFill="1" applyBorder="1" applyAlignment="1">
      <x:alignment vertical="center" wrapText="1"/>
    </x:xf>
    <x:xf numFmtId="0" fontId="0" fillId="73" borderId="7" xfId="0" applyNumberFormat="1" applyFont="1" applyFill="1" applyBorder="1" applyAlignment="1">
      <x:alignment vertical="center" wrapText="1"/>
    </x:xf>
    <x:xf numFmtId="200" fontId="0" fillId="73" borderId="5" xfId="0" applyNumberFormat="1" applyFont="1" applyFill="1" applyBorder="1" applyAlignment="1">
      <x:alignment vertical="center" wrapText="1"/>
    </x:xf>
    <x:xf numFmtId="200" fontId="0" fillId="73" borderId="6" xfId="0" applyNumberFormat="1" applyFont="1" applyFill="1" applyBorder="1" applyAlignment="1">
      <x:alignment vertical="center" wrapText="1"/>
    </x:xf>
    <x:xf numFmtId="200" fontId="0" fillId="73" borderId="7" xfId="0" applyNumberFormat="1" applyFont="1" applyFill="1" applyBorder="1" applyAlignment="1">
      <x:alignment vertical="center" wrapText="1"/>
    </x:xf>
    <x:xf numFmtId="200" fontId="0" fillId="73" borderId="5" xfId="0" applyNumberFormat="1" applyFont="1" applyFill="1" applyBorder="1" applyAlignment="1">
      <x:alignment horizontal="center" vertical="center" wrapText="1"/>
    </x:xf>
    <x:xf numFmtId="200" fontId="0" fillId="73" borderId="6" xfId="0" applyNumberFormat="1" applyFont="1" applyFill="1" applyBorder="1" applyAlignment="1">
      <x:alignment horizontal="center" vertical="center" wrapText="1"/>
    </x:xf>
    <x:xf numFmtId="200" fontId="0" fillId="73" borderId="7" xfId="0" applyNumberFormat="1" applyFont="1" applyFill="1" applyBorder="1" applyAlignment="1">
      <x:alignment horizontal="center" vertical="center" wrapText="1"/>
    </x:xf>
    <x:xf numFmtId="0" fontId="0" fillId="74" borderId="0" xfId="0" applyNumberFormat="1" applyFont="1" applyFill="1" applyBorder="1"/>
    <x:xf numFmtId="0" fontId="1" fillId="74" borderId="0" xfId="0" applyNumberFormat="1" applyFont="1" applyFill="1" applyBorder="1"/>
    <x:xf numFmtId="0" fontId="1" fillId="74" borderId="0" xfId="0" applyNumberFormat="1" applyFont="1" applyFill="1" applyBorder="1" applyAlignment="1">
      <x:alignment horizontal="center"/>
    </x:xf>
    <x:xf numFmtId="0" fontId="0" fillId="75" borderId="1" xfId="0" applyNumberFormat="1" applyFont="1" applyFill="1" applyBorder="1" applyAlignment="1">
      <x:alignment vertical="center"/>
    </x:xf>
    <x:xf numFmtId="200" fontId="0" fillId="75" borderId="1" xfId="0" applyNumberFormat="1" applyFont="1" applyFill="1" applyBorder="1" applyAlignment="1">
      <x:alignment vertical="center"/>
    </x:xf>
    <x:xf numFmtId="200" fontId="0" fillId="75" borderId="1" xfId="0" applyNumberFormat="1" applyFont="1" applyFill="1" applyBorder="1" applyAlignment="1">
      <x:alignment horizontal="center" vertical="center"/>
    </x:xf>
    <x:xf numFmtId="200" fontId="0" fillId="76" borderId="5" xfId="0" applyNumberFormat="1" applyFont="1" applyFill="1" applyBorder="1" applyAlignment="1">
      <x:alignment horizontal="center" vertical="center" wrapText="1"/>
    </x:xf>
    <x:xf numFmtId="200" fontId="0" fillId="76" borderId="6" xfId="0" applyNumberFormat="1" applyFont="1" applyFill="1" applyBorder="1" applyAlignment="1">
      <x:alignment horizontal="center" vertical="center" wrapText="1"/>
    </x:xf>
    <x:xf numFmtId="200" fontId="0" fillId="76" borderId="7" xfId="0" applyNumberFormat="1" applyFont="1" applyFill="1" applyBorder="1" applyAlignment="1">
      <x:alignment horizontal="center" vertical="center" wrapText="1"/>
    </x:xf>
    <x:xf numFmtId="200" fontId="0" fillId="77" borderId="5" xfId="0" applyNumberFormat="1" applyFont="1" applyFill="1" applyBorder="1" applyAlignment="1">
      <x:alignment horizontal="center" vertical="center" wrapText="1"/>
    </x:xf>
    <x:xf numFmtId="200" fontId="0" fillId="77" borderId="6" xfId="0" applyNumberFormat="1" applyFont="1" applyFill="1" applyBorder="1" applyAlignment="1">
      <x:alignment horizontal="center" vertical="center" wrapText="1"/>
    </x:xf>
    <x:xf numFmtId="200" fontId="0" fillId="77" borderId="7" xfId="0" applyNumberFormat="1" applyFont="1" applyFill="1" applyBorder="1" applyAlignment="1">
      <x:alignment horizontal="center" vertical="center" wrapText="1"/>
    </x:xf>
    <x:xf numFmtId="0" fontId="0" fillId="78" borderId="0" xfId="0" applyNumberFormat="1" applyFont="1" applyFill="1" applyBorder="1"/>
    <x:xf numFmtId="0" fontId="1" fillId="78" borderId="0" xfId="0" applyNumberFormat="1" applyFont="1" applyFill="1" applyBorder="1"/>
    <x:xf numFmtId="0" fontId="1" fillId="78" borderId="0" xfId="0" applyNumberFormat="1" applyFont="1" applyFill="1" applyBorder="1" applyAlignment="1">
      <x:alignment horizontal="center"/>
    </x:xf>
    <x:xf numFmtId="0" fontId="0" fillId="77" borderId="1" xfId="0" applyNumberFormat="1" applyFont="1" applyFill="1" applyBorder="1" applyAlignment="1">
      <x:alignment vertical="center"/>
    </x:xf>
    <x:xf numFmtId="200" fontId="0" fillId="77" borderId="1" xfId="0" applyNumberFormat="1" applyFont="1" applyFill="1" applyBorder="1" applyAlignment="1">
      <x:alignment vertical="center"/>
    </x:xf>
    <x:xf numFmtId="200" fontId="0" fillId="77" borderId="1" xfId="0" applyNumberFormat="1" applyFont="1" applyFill="1" applyBorder="1" applyAlignment="1">
      <x:alignment horizontal="center" vertical="center"/>
    </x:xf>
    <x:xf numFmtId="200" fontId="0" fillId="79" borderId="5" xfId="0" applyNumberFormat="1" applyFont="1" applyFill="1" applyBorder="1" applyAlignment="1">
      <x:alignment horizontal="center" vertical="center" wrapText="1"/>
    </x:xf>
    <x:xf numFmtId="200" fontId="0" fillId="79" borderId="6" xfId="0" applyNumberFormat="1" applyFont="1" applyFill="1" applyBorder="1" applyAlignment="1">
      <x:alignment horizontal="center" vertical="center" wrapText="1"/>
    </x:xf>
    <x:xf numFmtId="200" fontId="0" fillId="79" borderId="7" xfId="0" applyNumberFormat="1" applyFont="1" applyFill="1" applyBorder="1" applyAlignment="1">
      <x:alignment horizontal="center" vertical="center" wrapText="1"/>
    </x:xf>
    <x:xf numFmtId="0" fontId="0" fillId="80" borderId="0" xfId="0" applyNumberFormat="1" applyFont="1" applyFill="1" applyBorder="1"/>
    <x:xf numFmtId="0" fontId="1" fillId="80" borderId="0" xfId="0" applyNumberFormat="1" applyFont="1" applyFill="1" applyBorder="1"/>
    <x:xf numFmtId="0" fontId="1" fillId="80" borderId="0" xfId="0" applyNumberFormat="1" applyFont="1" applyFill="1" applyBorder="1" applyAlignment="1">
      <x:alignment horizontal="center"/>
    </x:xf>
    <x:xf numFmtId="0" fontId="0" fillId="79" borderId="1" xfId="0" applyNumberFormat="1" applyFont="1" applyFill="1" applyBorder="1" applyAlignment="1">
      <x:alignment vertical="center" wrapText="1"/>
    </x:xf>
    <x:xf numFmtId="200" fontId="0" fillId="79" borderId="1" xfId="0" applyNumberFormat="1" applyFont="1" applyFill="1" applyBorder="1" applyAlignment="1">
      <x:alignment vertical="center" wrapText="1"/>
    </x:xf>
    <x:xf numFmtId="200" fontId="0" fillId="79" borderId="1" xfId="0" applyNumberFormat="1" applyFont="1" applyFill="1" applyBorder="1" applyAlignment="1">
      <x:alignment horizontal="center" vertical="center" wrapText="1"/>
    </x:xf>
    <x:xf numFmtId="0" fontId="0" fillId="81" borderId="5" xfId="0" applyNumberFormat="1" applyFont="1" applyFill="1" applyBorder="1" applyAlignment="1">
      <x:alignment vertical="center" wrapText="1"/>
    </x:xf>
    <x:xf numFmtId="0" fontId="0" fillId="81" borderId="6" xfId="0" applyNumberFormat="1" applyFont="1" applyFill="1" applyBorder="1" applyAlignment="1">
      <x:alignment vertical="center" wrapText="1"/>
    </x:xf>
    <x:xf numFmtId="0" fontId="0" fillId="81" borderId="7" xfId="0" applyNumberFormat="1" applyFont="1" applyFill="1" applyBorder="1" applyAlignment="1">
      <x:alignment vertical="center" wrapText="1"/>
    </x:xf>
    <x:xf numFmtId="0" fontId="0" fillId="82" borderId="0" xfId="0" applyNumberFormat="1" applyFont="1" applyFill="1" applyBorder="1"/>
    <x:xf numFmtId="0" fontId="1" fillId="82" borderId="0" xfId="0" applyNumberFormat="1" applyFont="1" applyFill="1" applyBorder="1"/>
    <x:xf numFmtId="0" fontId="1" fillId="82" borderId="0" xfId="0" applyNumberFormat="1" applyFont="1" applyFill="1" applyBorder="1" applyAlignment="1">
      <x:alignment horizontal="center"/>
    </x:xf>
    <x:xf numFmtId="0" fontId="0" fillId="83" borderId="1" xfId="0" applyNumberFormat="1" applyFont="1" applyFill="1" applyBorder="1" applyAlignment="1">
      <x:alignment vertical="center"/>
    </x:xf>
    <x:xf numFmtId="200" fontId="0" fillId="83" borderId="1" xfId="0" applyNumberFormat="1" applyFont="1" applyFill="1" applyBorder="1" applyAlignment="1">
      <x:alignment vertical="center"/>
    </x:xf>
    <x:xf numFmtId="200" fontId="0" fillId="83" borderId="1" xfId="0" applyNumberFormat="1" applyFont="1" applyFill="1" applyBorder="1" applyAlignment="1">
      <x:alignment horizontal="center" vertical="center"/>
    </x:xf>
    <x:xf numFmtId="0" fontId="0" fillId="84" borderId="0" xfId="0" applyNumberFormat="1" applyFont="1" applyFill="1" applyBorder="1"/>
    <x:xf numFmtId="0" fontId="1" fillId="84" borderId="0" xfId="0" applyNumberFormat="1" applyFont="1" applyFill="1" applyBorder="1"/>
    <x:xf numFmtId="0" fontId="1" fillId="84" borderId="1" xfId="0" applyNumberFormat="1" applyFont="1" applyFill="1" applyBorder="1"/>
    <x:xf numFmtId="0" fontId="1" fillId="84" borderId="1" xfId="0" applyNumberFormat="1" applyFont="1" applyFill="1" applyBorder="1" applyAlignment="1">
      <x:alignment horizontal="center"/>
    </x:xf>
    <x:xf numFmtId="0" fontId="1" fillId="84" borderId="1" xfId="0" applyNumberFormat="1" applyFont="1" applyFill="1" applyBorder="1" applyAlignment="1">
      <x:alignment horizontal="center" vertical="center"/>
    </x:xf>
    <x:xf numFmtId="0" fontId="0" fillId="85" borderId="1" xfId="0" applyNumberFormat="1" applyFont="1" applyFill="1" applyBorder="1" applyAlignment="1">
      <x:alignment vertical="center"/>
    </x:xf>
    <x:xf numFmtId="0" fontId="1" fillId="84" borderId="0" xfId="0" applyNumberFormat="1" applyFont="1" applyFill="1" applyBorder="1" applyAlignment="1">
      <x:alignment horizontal="center"/>
    </x:xf>
    <x:xf numFmtId="0" fontId="0" fillId="86" borderId="0" xfId="0" applyNumberFormat="1" applyFont="1" applyFill="1" applyBorder="1"/>
    <x:xf numFmtId="0" fontId="0" fillId="86" borderId="1" xfId="0" applyNumberFormat="1" applyFont="1" applyFill="1" applyBorder="1"/>
    <x:xf numFmtId="0" fontId="0" fillId="86" borderId="1" xfId="0" applyNumberFormat="1" applyFont="1" applyFill="1" applyBorder="1" applyAlignment="1">
      <x:alignment wrapText="1"/>
    </x:xf>
    <x:xf numFmtId="0" fontId="0" fillId="86" borderId="1" xfId="0" applyNumberFormat="1" applyFont="1" applyFill="1" applyBorder="1" applyAlignment="1">
      <x:alignment vertical="center" wrapText="1"/>
    </x:xf>
    <x:xf numFmtId="0" fontId="0" fillId="87" borderId="0" xfId="0" applyNumberFormat="1" applyFont="1" applyFill="1" applyBorder="1"/>
    <x:xf numFmtId="0" fontId="1" fillId="87" borderId="0" xfId="0" applyNumberFormat="1" applyFont="1" applyFill="1" applyBorder="1"/>
    <x:xf numFmtId="0" fontId="1" fillId="87" borderId="0" xfId="0" applyNumberFormat="1" applyFont="1" applyFill="1" applyBorder="1" applyAlignment="1">
      <x:alignment horizontal="center"/>
    </x:xf>
    <x:xf numFmtId="0" fontId="1" fillId="87" borderId="0" xfId="0" applyNumberFormat="1" applyFont="1" applyFill="1" applyBorder="1" applyAlignment="1">
      <x:alignment horizontal="center" vertical="center"/>
    </x:xf>
    <x:xf numFmtId="0" fontId="0" fillId="88" borderId="1" xfId="0" applyNumberFormat="1" applyFont="1" applyFill="1" applyBorder="1" applyAlignment="1">
      <x:alignment vertical="center" wrapText="1"/>
    </x:xf>
    <x:xf numFmtId="0" fontId="0" fillId="88" borderId="1" xfId="0" applyNumberFormat="1" applyFont="1" applyFill="1" applyBorder="1" applyAlignment="1">
      <x:alignment horizontal="center" vertical="center" wrapText="1"/>
    </x:xf>
    <x:xf numFmtId="200" fontId="0" fillId="88" borderId="1" xfId="0" applyNumberFormat="1" applyFont="1" applyFill="1" applyBorder="1" applyAlignment="1">
      <x:alignment horizontal="center" vertical="center" wrapText="1"/>
    </x:xf>
    <x:xf numFmtId="201" fontId="0" fillId="88" borderId="1" xfId="0" applyNumberFormat="1" applyFont="1" applyFill="1" applyBorder="1" applyAlignment="1">
      <x:alignment horizontal="center" vertical="center" wrapText="1"/>
    </x:xf>
    <x:xf numFmtId="0" fontId="0" fillId="89" borderId="1" xfId="0" applyNumberFormat="1" applyFont="1" applyFill="1" applyBorder="1" applyAlignment="1">
      <x:alignment vertical="center" wrapText="1"/>
    </x:xf>
    <x:xf numFmtId="0" fontId="0" fillId="90" borderId="0" xfId="0" applyNumberFormat="1" applyFont="1" applyFill="1" applyBorder="1"/>
    <x:xf numFmtId="0" fontId="1" fillId="90" borderId="0" xfId="0" applyNumberFormat="1" applyFont="1" applyFill="1" applyBorder="1"/>
    <x:xf numFmtId="0" fontId="1" fillId="90" borderId="0" xfId="0" applyNumberFormat="1" applyFont="1" applyFill="1" applyBorder="1" applyAlignment="1">
      <x:alignment horizontal="center"/>
    </x:xf>
    <x:xf numFmtId="0" fontId="1" fillId="90" borderId="0" xfId="0" applyNumberFormat="1" applyFont="1" applyFill="1" applyBorder="1" applyAlignment="1">
      <x:alignment horizontal="center" vertical="center"/>
    </x:xf>
    <x:xf numFmtId="0" fontId="0" fillId="91" borderId="0" xfId="0" applyNumberFormat="1" applyFont="1" applyFill="1" applyBorder="1"/>
    <x:xf numFmtId="0" fontId="0" fillId="91" borderId="8" xfId="0" applyNumberFormat="1" applyFont="1" applyFill="1" applyBorder="1"/>
    <x:xf numFmtId="0" fontId="0" fillId="91" borderId="8" xfId="0" applyNumberFormat="1" applyFont="1" applyFill="1" applyBorder="1" applyAlignment="1">
      <x:alignment wrapText="1"/>
    </x:xf>
    <x:xf numFmtId="0" fontId="0" fillId="91" borderId="8" xfId="0" applyNumberFormat="1" applyFont="1" applyFill="1" applyBorder="1" applyAlignment="1">
      <x:alignment horizontal="left" wrapText="1"/>
    </x:xf>
    <x:xf numFmtId="0" fontId="0" fillId="91" borderId="8" xfId="0" applyNumberFormat="1" applyFont="1" applyFill="1" applyBorder="1" applyAlignment="1">
      <x:alignment horizontal="left" vertical="top" wrapText="1"/>
    </x:xf>
    <x:xf numFmtId="0" fontId="0" fillId="92" borderId="0" xfId="0" applyNumberFormat="1" applyFont="1" applyFill="1" applyBorder="1"/>
    <x:xf numFmtId="0" fontId="1" fillId="92" borderId="0" xfId="0" applyNumberFormat="1" applyFont="1" applyFill="1" applyBorder="1"/>
    <x:xf numFmtId="0" fontId="1" fillId="92" borderId="0" xfId="0" applyNumberFormat="1" applyFont="1" applyFill="1" applyBorder="1" applyAlignment="1">
      <x:alignment wrapText="1"/>
    </x:xf>
    <x:xf numFmtId="0" fontId="0" fillId="93" borderId="0" xfId="0" applyNumberFormat="1" applyFont="1" applyFill="1" applyBorder="1"/>
    <x:xf numFmtId="0" fontId="0" fillId="93" borderId="0" xfId="0" applyNumberFormat="1" applyFont="1" applyFill="1" applyBorder="1" applyAlignment="1">
      <x:alignment wrapText="1"/>
    </x:xf>
    <x:xf numFmtId="0" fontId="0" fillId="94" borderId="0" xfId="0" applyNumberFormat="1" applyFont="1" applyFill="1" applyBorder="1"/>
    <x:xf numFmtId="0" fontId="0" fillId="94" borderId="0" xfId="0" applyNumberFormat="1" applyFont="1" applyFill="1" applyBorder="1" applyAlignment="1">
      <x:alignment wrapText="1"/>
    </x:xf>
    <x:xf numFmtId="0" fontId="0" fillId="94" borderId="0" xfId="0" applyNumberFormat="1" applyFont="1" applyFill="1" applyBorder="1" applyAlignment="1">
      <x:alignment vertical="top" wrapText="1"/>
    </x:xf>
    <x:xf numFmtId="0" fontId="0" fillId="95" borderId="0" xfId="0" applyNumberFormat="1" applyFont="1" applyFill="1" applyBorder="1"/>
    <x:xf numFmtId="0" fontId="0" fillId="95" borderId="0" xfId="0" applyNumberFormat="1" applyFont="1" applyFill="1" applyBorder="1" applyAlignment="1">
      <x:alignment wrapText="1"/>
    </x:xf>
    <x:xf numFmtId="0" fontId="0" fillId="95" borderId="0" xfId="0" applyNumberFormat="1" applyFont="1" applyFill="1" applyBorder="1" applyAlignment="1">
      <x:alignment horizontal="center" wrapText="1"/>
    </x:xf>
    <x:xf numFmtId="0" fontId="0" fillId="95" borderId="0" xfId="0" applyNumberFormat="1" applyFont="1" applyFill="1" applyBorder="1" applyAlignment="1">
      <x:alignment horizontal="center" vertical="center" wrapText="1"/>
    </x:xf>
    <x:xf numFmtId="0" fontId="0" fillId="96" borderId="0" xfId="0" applyNumberFormat="1" applyFont="1" applyFill="1" applyBorder="1"/>
    <x:xf numFmtId="0" fontId="0" fillId="96" borderId="0" xfId="0" applyNumberFormat="1" applyFont="1" applyFill="1" applyBorder="1" applyAlignment="1">
      <x:alignment wrapText="1"/>
    </x:xf>
    <x:xf numFmtId="0" fontId="0" fillId="96" borderId="0" xfId="0" applyNumberFormat="1" applyFont="1" applyFill="1" applyBorder="1" applyAlignment="1">
      <x:alignment horizontal="center" wrapText="1"/>
    </x:xf>
    <x:xf numFmtId="0" fontId="0" fillId="96" borderId="0" xfId="0" applyNumberFormat="1" applyFont="1" applyFill="1" applyBorder="1" applyAlignment="1">
      <x:alignment horizontal="center" vertical="center" wrapText="1"/>
    </x:xf>
    <x:xf numFmtId="0" fontId="1" fillId="92" borderId="0" xfId="0" applyNumberFormat="1" applyFont="1" applyFill="1" applyBorder="1" applyAlignment="1">
      <x:alignment horizontal="center" wrapText="1"/>
    </x:xf>
    <x:xf numFmtId="0" fontId="1" fillId="92" borderId="0" xfId="0" applyNumberFormat="1" applyFont="1" applyFill="1" applyBorder="1" applyAlignment="1">
      <x:alignment horizontal="center" vertical="center" wrapText="1"/>
    </x:xf>
    <x:xf numFmtId="0" fontId="0" fillId="97" borderId="0" xfId="0" applyNumberFormat="1" applyFont="1" applyFill="1" applyBorder="1"/>
    <x:xf numFmtId="0" fontId="1" fillId="97" borderId="0" xfId="0" applyNumberFormat="1" applyFont="1" applyFill="1" applyBorder="1"/>
    <x:xf numFmtId="0" fontId="1" fillId="97" borderId="0" xfId="0" applyNumberFormat="1" applyFont="1" applyFill="1" applyBorder="1" applyAlignment="1">
      <x:alignment horizontal="center"/>
    </x:xf>
    <x:xf numFmtId="0" fontId="0" fillId="98" borderId="0" xfId="0" applyNumberFormat="1" applyFont="1" applyFill="1" applyBorder="1"/>
    <x:xf numFmtId="0" fontId="5" fillId="98" borderId="0" xfId="0" applyNumberFormat="1" applyFont="1" applyFill="1" applyBorder="1"/>
    <x:xf numFmtId="0" fontId="0" fillId="99" borderId="0" xfId="0" applyNumberFormat="1" applyFont="1" applyFill="1" applyBorder="1"/>
    <x:xf numFmtId="200" fontId="0" fillId="99" borderId="0" xfId="0" applyNumberFormat="1" applyFont="1" applyFill="1" applyBorder="1"/>
    <x:xf numFmtId="200" fontId="0" fillId="99" borderId="0" xfId="0" applyNumberFormat="1" applyFont="1" applyFill="1" applyBorder="1" applyAlignment="1">
      <x:alignment horizontal="center"/>
    </x:xf>
    <x:xf numFmtId="200" fontId="0" fillId="5" borderId="0" xfId="0" applyNumberFormat="1" applyFont="1" applyFill="1" applyBorder="1" applyAlignment="1">
      <x:alignment horizontal="center" vertical="center" wrapText="1"/>
    </x:xf>
    <x:xf numFmtId="0" fontId="0" fillId="100" borderId="0" xfId="0" applyNumberFormat="1" applyFont="1" applyFill="1" applyBorder="1"/>
    <x:xf numFmtId="0" fontId="1" fillId="100" borderId="0" xfId="0" applyNumberFormat="1" applyFont="1" applyFill="1" applyBorder="1"/>
    <x:xf numFmtId="0" fontId="1" fillId="100" borderId="0" xfId="0" applyNumberFormat="1" applyFont="1" applyFill="1" applyBorder="1" applyAlignment="1">
      <x:alignment wrapText="1"/>
    </x:xf>
    <x:xf numFmtId="0" fontId="1" fillId="100" borderId="0" xfId="0" applyNumberFormat="1" applyFont="1" applyFill="1" applyBorder="1" applyAlignment="1">
      <x:alignment horizontal="center" wrapText="1"/>
    </x:xf>
    <x:xf numFmtId="0" fontId="0" fillId="101" borderId="0" xfId="0" applyNumberFormat="1" applyFont="1" applyFill="1" applyBorder="1"/>
    <x:xf numFmtId="0" fontId="0" fillId="101" borderId="0" xfId="0" applyNumberFormat="1" applyFont="1" applyFill="1" applyBorder="1" applyAlignment="1">
      <x:alignment wrapText="1"/>
    </x:xf>
    <x:xf numFmtId="0" fontId="0" fillId="101" borderId="0" xfId="0" applyNumberFormat="1" applyFont="1" applyFill="1" applyBorder="1" applyAlignment="1">
      <x:alignment vertical="top" wrapText="1"/>
    </x:xf>
    <x:xf numFmtId="0" fontId="0" fillId="102" borderId="0" xfId="0" applyNumberFormat="1" applyFont="1" applyFill="1" applyBorder="1"/>
    <x:xf numFmtId="0" fontId="0" fillId="102" borderId="0" xfId="0" applyNumberFormat="1" applyFont="1" applyFill="1" applyBorder="1" applyAlignment="1">
      <x:alignment wrapText="1"/>
    </x:xf>
    <x:xf numFmtId="0" fontId="0" fillId="102" borderId="0" xfId="0" applyNumberFormat="1" applyFont="1" applyFill="1" applyBorder="1" applyAlignment="1">
      <x:alignment vertical="top" wrapText="1"/>
    </x:xf>
    <x:xf numFmtId="200" fontId="0" fillId="12" borderId="0" xfId="0" applyNumberFormat="1" applyFont="1" applyFill="1" applyBorder="1" applyAlignment="1">
      <x:alignment horizontal="center" vertical="center" wrapText="1"/>
    </x:xf>
    <x:xf numFmtId="0" fontId="0" fillId="103" borderId="0" xfId="0" applyNumberFormat="1" applyFont="1" applyFill="1" applyBorder="1"/>
    <x:xf numFmtId="0" fontId="5" fillId="103" borderId="0" xfId="0" applyNumberFormat="1" applyFont="1" applyFill="1" applyBorder="1"/>
    <x:xf numFmtId="0" fontId="0" fillId="104" borderId="0" xfId="0" applyNumberFormat="1" applyFont="1" applyFill="1" applyBorder="1"/>
    <x:xf numFmtId="200" fontId="0" fillId="104" borderId="0" xfId="0" applyNumberFormat="1" applyFont="1" applyFill="1" applyBorder="1"/>
    <x:xf numFmtId="200" fontId="0" fillId="104" borderId="0" xfId="0" applyNumberFormat="1" applyFont="1" applyFill="1" applyBorder="1" applyAlignment="1">
      <x:alignment horizontal="center"/>
    </x:xf>
    <x:xf numFmtId="0" fontId="0" fillId="105" borderId="0" xfId="0" applyNumberFormat="1" applyFont="1" applyFill="1" applyBorder="1"/>
    <x:xf numFmtId="0" fontId="5" fillId="105" borderId="0" xfId="0" applyNumberFormat="1" applyFont="1" applyFill="1" applyBorder="1"/>
    <x:xf numFmtId="0" fontId="5" fillId="105" borderId="0" xfId="0" applyNumberFormat="1" applyFont="1" applyFill="1" applyBorder="1" applyAlignment="1">
      <x:alignment wrapText="1"/>
    </x:xf>
    <x:xf numFmtId="0" fontId="0" fillId="106" borderId="0" xfId="0" applyNumberFormat="1" applyFont="1" applyFill="1" applyBorder="1"/>
    <x:xf numFmtId="0" fontId="0" fillId="106" borderId="0" xfId="0" applyNumberFormat="1" applyFont="1" applyFill="1" applyBorder="1" applyAlignment="1">
      <x:alignment wrapText="1"/>
    </x:xf>
    <x:xf numFmtId="0" fontId="0" fillId="106" borderId="0" xfId="0" applyNumberFormat="1" applyFont="1" applyFill="1" applyBorder="1" applyAlignment="1">
      <x:alignment vertical="top" wrapText="1"/>
    </x:xf>
    <x:xf numFmtId="200" fontId="0" fillId="106" borderId="0" xfId="0" applyNumberFormat="1" applyFont="1" applyFill="1" applyBorder="1" applyAlignment="1">
      <x:alignment vertical="top" wrapText="1"/>
    </x:xf>
    <x:xf numFmtId="0" fontId="0" fillId="107" borderId="0" xfId="0" applyNumberFormat="1" applyFont="1" applyFill="1" applyBorder="1" applyAlignment="1">
      <x:alignment horizontal="center" vertical="center" wrapText="1"/>
    </x:xf>
    <x:xf numFmtId="0" fontId="0" fillId="107" borderId="0" xfId="0" applyNumberFormat="1" applyFont="1" applyFill="1" applyBorder="1" applyAlignment="1">
      <x:alignment horizontal="center" vertical="top" wrapText="1"/>
    </x:xf>
    <x:xf numFmtId="0" fontId="0" fillId="108" borderId="0" xfId="0" applyNumberFormat="1" applyFont="1" applyFill="1" applyBorder="1"/>
    <x:xf numFmtId="0" fontId="5" fillId="108" borderId="0" xfId="0" applyNumberFormat="1" applyFont="1" applyFill="1" applyBorder="1"/>
    <x:xf numFmtId="0" fontId="5" fillId="108" borderId="0" xfId="0" applyNumberFormat="1" applyFont="1" applyFill="1" applyBorder="1" applyAlignment="1">
      <x:alignment wrapText="1"/>
    </x:xf>
    <x:xf numFmtId="0" fontId="0" fillId="109" borderId="0" xfId="0" applyNumberFormat="1" applyFont="1" applyFill="1" applyBorder="1"/>
    <x:xf numFmtId="0" fontId="0" fillId="109" borderId="0" xfId="0" applyNumberFormat="1" applyFont="1" applyFill="1" applyBorder="1" applyAlignment="1">
      <x:alignment wrapText="1"/>
    </x:xf>
    <x:xf numFmtId="200" fontId="0" fillId="109" borderId="0" xfId="0" applyNumberFormat="1" applyFont="1" applyFill="1" applyBorder="1" applyAlignment="1">
      <x:alignment wrapText="1"/>
    </x:xf>
    <x:xf numFmtId="0" fontId="0" fillId="110" borderId="0" xfId="0" applyNumberFormat="1" applyFont="1" applyFill="1" applyBorder="1"/>
    <x:xf numFmtId="0" fontId="1" fillId="110" borderId="0" xfId="0" applyNumberFormat="1" applyFont="1" applyFill="1" applyBorder="1"/>
    <x:xf numFmtId="0" fontId="1" fillId="110" borderId="0" xfId="0" applyNumberFormat="1" applyFont="1" applyFill="1" applyBorder="1" applyAlignment="1">
      <x:alignment wrapText="1"/>
    </x:xf>
    <x:xf numFmtId="0" fontId="1" fillId="110" borderId="0" xfId="0" applyNumberFormat="1" applyFont="1" applyFill="1" applyBorder="1" applyAlignment="1">
      <x:alignment horizontal="center" wrapText="1"/>
    </x:xf>
    <x:xf numFmtId="0" fontId="1" fillId="110" borderId="0" xfId="0" applyNumberFormat="1" applyFont="1" applyFill="1" applyBorder="1" applyAlignment="1">
      <x:alignment horizontal="center" vertical="center" wrapText="1"/>
    </x:xf>
    <x:xf numFmtId="0" fontId="0" fillId="111" borderId="0" xfId="0" applyNumberFormat="1" applyFont="1" applyFill="1" applyBorder="1"/>
    <x:xf numFmtId="0" fontId="0" fillId="111" borderId="0" xfId="0" applyNumberFormat="1" applyFont="1" applyFill="1" applyBorder="1" applyAlignment="1">
      <x:alignment wrapText="1"/>
    </x:xf>
    <x:xf numFmtId="0" fontId="0" fillId="112" borderId="0" xfId="0" applyNumberFormat="1" applyFont="1" applyFill="1" applyBorder="1"/>
    <x:xf numFmtId="0" fontId="0" fillId="112" borderId="0" xfId="0" applyNumberFormat="1" applyFont="1" applyFill="1" applyBorder="1" applyAlignment="1">
      <x:alignment horizontal="center"/>
    </x:xf>
    <x:xf numFmtId="0" fontId="0" fillId="113" borderId="0" xfId="0" applyNumberFormat="1" applyFont="1" applyFill="1" applyBorder="1"/>
    <x:xf numFmtId="0" fontId="0" fillId="113" borderId="0" xfId="0" applyNumberFormat="1" applyFont="1" applyFill="1" applyBorder="1" applyAlignment="1">
      <x:alignment wrapText="1"/>
    </x:xf>
    <x:xf numFmtId="0" fontId="1" fillId="110" borderId="0" xfId="0" applyNumberFormat="1" applyFont="1" applyFill="1" applyBorder="1" applyAlignment="1">
      <x:alignment horizontal="center"/>
    </x:xf>
    <x:xf numFmtId="0" fontId="0" fillId="114" borderId="0" xfId="0" applyNumberFormat="1" applyFont="1" applyFill="1" applyBorder="1"/>
    <x:xf numFmtId="0" fontId="5" fillId="114" borderId="0" xfId="0" applyNumberFormat="1" applyFont="1" applyFill="1" applyBorder="1"/>
    <x:xf numFmtId="0" fontId="5" fillId="114" borderId="0" xfId="0" applyNumberFormat="1" applyFont="1" applyFill="1" applyBorder="1" applyAlignment="1">
      <x:alignment wrapText="1"/>
    </x:xf>
    <x:xf numFmtId="0" fontId="0" fillId="112" borderId="0" xfId="0" applyNumberFormat="1" applyFont="1" applyFill="1" applyBorder="1" applyAlignment="1">
      <x:alignment wrapText="1"/>
    </x:xf>
    <x:xf numFmtId="201" fontId="0" fillId="112" borderId="0" xfId="0" applyNumberFormat="1" applyFont="1" applyFill="1" applyBorder="1" applyAlignment="1">
      <x:alignment horizontal="center"/>
    </x:xf>
    <x:xf numFmtId="200" fontId="0" fillId="112" borderId="0" xfId="0" applyNumberFormat="1" applyFont="1" applyFill="1" applyBorder="1" applyAlignment="1">
      <x:alignment horizontal="center"/>
    </x:xf>
    <x:xf numFmtId="0" fontId="1" fillId="110" borderId="9" xfId="0" applyNumberFormat="1" applyFont="1" applyFill="1" applyBorder="1" applyAlignment="1">
      <x:alignment horizontal="center" vertical="center" wrapText="1"/>
    </x:xf>
    <x:xf numFmtId="0" fontId="0" fillId="111" borderId="9" xfId="0" applyNumberFormat="1" applyFont="1" applyFill="1" applyBorder="1" applyAlignment="1">
      <x:alignment wrapText="1"/>
    </x:xf>
    <x:xf numFmtId="200" fontId="0" fillId="112" borderId="9" xfId="0" applyNumberFormat="1" applyFont="1" applyFill="1" applyBorder="1" applyAlignment="1">
      <x:alignment horizontal="center"/>
    </x:xf>
    <x:xf numFmtId="201" fontId="0" fillId="112" borderId="9" xfId="0" applyNumberFormat="1" applyFont="1" applyFill="1" applyBorder="1" applyAlignment="1">
      <x:alignment horizontal="center"/>
    </x:xf>
    <x:xf numFmtId="0" fontId="0" fillId="113" borderId="9" xfId="0" applyNumberFormat="1" applyFont="1" applyFill="1" applyBorder="1" applyAlignment="1">
      <x:alignment wrapText="1"/>
    </x:xf>
    <x:xf numFmtId="0" fontId="1" fillId="110" borderId="9" xfId="0" applyNumberFormat="1" applyFont="1" applyFill="1" applyBorder="1" applyAlignment="1">
      <x:alignment horizontal="center"/>
    </x:xf>
    <x:xf numFmtId="0" fontId="5" fillId="114" borderId="9" xfId="0" applyNumberFormat="1" applyFont="1" applyFill="1" applyBorder="1" applyAlignment="1">
      <x:alignment wrapText="1"/>
    </x:xf>
    <x:xf numFmtId="0" fontId="0" fillId="112" borderId="9" xfId="0" applyNumberFormat="1" applyFont="1" applyFill="1" applyBorder="1" applyAlignment="1">
      <x:alignment wrapText="1"/>
    </x:xf>
    <x:xf numFmtId="0" fontId="0" fillId="115" borderId="0" xfId="0" applyNumberFormat="1" applyFont="1" applyFill="1" applyBorder="1"/>
    <x:xf numFmtId="0" fontId="1" fillId="115" borderId="0" xfId="0" applyNumberFormat="1" applyFont="1" applyFill="1" applyBorder="1"/>
    <x:xf numFmtId="0" fontId="1" fillId="115" borderId="0" xfId="0" applyNumberFormat="1" applyFont="1" applyFill="1" applyBorder="1" applyAlignment="1">
      <x:alignment horizontal="center"/>
    </x:xf>
    <x:xf numFmtId="0" fontId="0" fillId="116" borderId="0" xfId="0" applyNumberFormat="1" applyFont="1" applyFill="1" applyBorder="1"/>
    <x:xf numFmtId="0" fontId="5" fillId="116" borderId="0" xfId="0" applyNumberFormat="1" applyFont="1" applyFill="1" applyBorder="1"/>
    <x:xf numFmtId="0" fontId="5" fillId="116" borderId="0" xfId="0" applyNumberFormat="1" applyFont="1" applyFill="1" applyBorder="1" applyAlignment="1">
      <x:alignment wrapText="1"/>
    </x:xf>
    <x:xf numFmtId="0" fontId="0" fillId="117" borderId="0" xfId="0" applyNumberFormat="1" applyFont="1" applyFill="1" applyBorder="1"/>
    <x:xf numFmtId="0" fontId="0" fillId="117" borderId="0" xfId="0" applyNumberFormat="1" applyFont="1" applyFill="1" applyBorder="1" applyAlignment="1">
      <x:alignment wrapText="1"/>
    </x:xf>
    <x:xf numFmtId="0" fontId="0" fillId="117" borderId="0" xfId="0" applyNumberFormat="1" applyFont="1" applyFill="1" applyBorder="1" applyAlignment="1">
      <x:alignment vertical="top" wrapText="1"/>
    </x:xf>
    <x:xf numFmtId="200" fontId="0" fillId="117" borderId="0" xfId="0" applyNumberFormat="1" applyFont="1" applyFill="1" applyBorder="1" applyAlignment="1">
      <x:alignment vertical="top" wrapText="1"/>
    </x:xf>
    <x:xf numFmtId="0" fontId="1" fillId="115" borderId="9" xfId="0" applyNumberFormat="1" applyFont="1" applyFill="1" applyBorder="1" applyAlignment="1">
      <x:alignment horizontal="center"/>
    </x:xf>
    <x:xf numFmtId="0" fontId="5" fillId="116" borderId="9" xfId="0" applyNumberFormat="1" applyFont="1" applyFill="1" applyBorder="1" applyAlignment="1">
      <x:alignment wrapText="1"/>
    </x:xf>
    <x:xf numFmtId="200" fontId="0" fillId="117" borderId="9" xfId="0" applyNumberFormat="1" applyFont="1" applyFill="1" applyBorder="1" applyAlignment="1">
      <x:alignment vertical="top" wrapText="1"/>
    </x:xf>
    <x:xf numFmtId="0" fontId="0" fillId="117" borderId="9" xfId="0" applyNumberFormat="1" applyFont="1" applyFill="1" applyBorder="1" applyAlignment="1">
      <x:alignment vertical="top" wrapText="1"/>
    </x:xf>
    <x:xf numFmtId="0" fontId="0" fillId="118" borderId="0" xfId="0" applyNumberFormat="1" applyFont="1" applyFill="1" applyBorder="1"/>
    <x:xf numFmtId="0" fontId="1" fillId="118" borderId="0" xfId="0" applyNumberFormat="1" applyFont="1" applyFill="1" applyBorder="1"/>
    <x:xf numFmtId="0" fontId="1" fillId="118" borderId="0" xfId="0" applyNumberFormat="1" applyFont="1" applyFill="1" applyBorder="1" applyAlignment="1">
      <x:alignment wrapText="1"/>
    </x:xf>
    <x:xf numFmtId="0" fontId="0" fillId="119" borderId="0" xfId="0" applyNumberFormat="1" applyFont="1" applyFill="1" applyBorder="1"/>
    <x:xf numFmtId="0" fontId="0" fillId="119" borderId="0" xfId="0" applyNumberFormat="1" applyFont="1" applyFill="1" applyBorder="1" applyAlignment="1">
      <x:alignment wrapText="1"/>
    </x:xf>
    <x:xf numFmtId="0" fontId="1" fillId="118" borderId="0" xfId="0" applyNumberFormat="1" applyFont="1" applyFill="1" applyBorder="1" applyAlignment="1">
      <x:alignment horizontal="center" wrapText="1"/>
    </x:xf>
    <x:xf numFmtId="0" fontId="1" fillId="118" borderId="0" xfId="0" applyNumberFormat="1" applyFont="1" applyFill="1" applyBorder="1" applyAlignment="1">
      <x:alignment horizontal="center" vertical="center" wrapText="1"/>
    </x:xf>
    <x:xf numFmtId="0" fontId="0" fillId="120" borderId="0" xfId="0" applyNumberFormat="1" applyFont="1" applyFill="1" applyBorder="1"/>
    <x:xf numFmtId="0" fontId="0" fillId="120" borderId="0" xfId="0" applyNumberFormat="1" applyFont="1" applyFill="1" applyBorder="1" applyAlignment="1">
      <x:alignment wrapText="1"/>
    </x:xf>
    <x:xf numFmtId="0" fontId="0" fillId="120" borderId="0" xfId="0" applyNumberFormat="1" applyFont="1" applyFill="1" applyBorder="1" applyAlignment="1">
      <x:alignment vertical="top" wrapText="1"/>
    </x:xf>
    <x:xf numFmtId="0" fontId="0" fillId="121" borderId="0" xfId="0" applyNumberFormat="1" applyFont="1" applyFill="1" applyBorder="1"/>
    <x:xf numFmtId="0" fontId="0" fillId="121" borderId="0" xfId="0" applyNumberFormat="1" applyFont="1" applyFill="1" applyBorder="1" applyAlignment="1">
      <x:alignment wrapText="1"/>
    </x:xf>
    <x:xf numFmtId="0" fontId="0" fillId="121" borderId="0" xfId="0" applyNumberFormat="1" applyFont="1" applyFill="1" applyBorder="1" applyAlignment="1">
      <x:alignment horizontal="center" wrapText="1"/>
    </x:xf>
    <x:xf numFmtId="0" fontId="0" fillId="121" borderId="0" xfId="0" applyNumberFormat="1" applyFont="1" applyFill="1" applyBorder="1" applyAlignment="1">
      <x:alignment horizontal="center" vertical="center" wrapText="1"/>
    </x:xf>
    <x:xf numFmtId="0" fontId="0" fillId="121" borderId="0" xfId="0" applyNumberFormat="1" applyFont="1" applyFill="1" applyBorder="1" applyAlignment="1">
      <x:alignment vertical="top" wrapText="1"/>
    </x:xf>
    <x:xf numFmtId="0" fontId="0" fillId="122" borderId="0" xfId="0" applyNumberFormat="1" applyFont="1" applyFill="1" applyBorder="1"/>
    <x:xf numFmtId="0" fontId="0" fillId="122" borderId="0" xfId="0" applyNumberFormat="1" applyFont="1" applyFill="1" applyBorder="1" applyAlignment="1">
      <x:alignment wrapText="1"/>
    </x:xf>
    <x:xf numFmtId="0" fontId="0" fillId="122" borderId="0" xfId="0" applyNumberFormat="1" applyFont="1" applyFill="1" applyBorder="1" applyAlignment="1">
      <x:alignment horizontal="center" wrapText="1"/>
    </x:xf>
    <x:xf numFmtId="0" fontId="0" fillId="122" borderId="0" xfId="0" applyNumberFormat="1" applyFont="1" applyFill="1" applyBorder="1" applyAlignment="1">
      <x:alignment horizontal="center" vertical="center" wrapText="1"/>
    </x:xf>
    <x:xf numFmtId="0" fontId="0" fillId="123" borderId="0" xfId="0" applyNumberFormat="1" applyFont="1" applyFill="1" applyBorder="1"/>
    <x:xf numFmtId="0" fontId="1" fillId="123" borderId="0" xfId="0" applyNumberFormat="1" applyFont="1" applyFill="1" applyBorder="1"/>
    <x:xf numFmtId="0" fontId="1" fillId="123" borderId="0" xfId="0" applyNumberFormat="1" applyFont="1" applyFill="1" applyBorder="1" applyAlignment="1">
      <x:alignment horizontal="center"/>
    </x:xf>
    <x:xf numFmtId="0" fontId="0" fillId="124" borderId="0" xfId="0" applyNumberFormat="1" applyFont="1" applyFill="1" applyBorder="1"/>
    <x:xf numFmtId="0" fontId="5" fillId="124" borderId="0" xfId="0" applyNumberFormat="1" applyFont="1" applyFill="1" applyBorder="1"/>
    <x:xf numFmtId="0" fontId="0" fillId="125" borderId="0" xfId="0" applyNumberFormat="1" applyFont="1" applyFill="1" applyBorder="1"/>
    <x:xf numFmtId="200" fontId="0" fillId="125" borderId="0" xfId="0" applyNumberFormat="1" applyFont="1" applyFill="1" applyBorder="1"/>
    <x:xf numFmtId="200" fontId="0" fillId="125" borderId="0" xfId="0" applyNumberFormat="1" applyFont="1" applyFill="1" applyBorder="1" applyAlignment="1">
      <x:alignment horizontal="center"/>
    </x:xf>
    <x:xf numFmtId="0" fontId="0" fillId="126" borderId="0" xfId="0" applyNumberFormat="1" applyFont="1" applyFill="1" applyBorder="1"/>
    <x:xf numFmtId="0" fontId="1" fillId="126" borderId="0" xfId="0" applyNumberFormat="1" applyFont="1" applyFill="1" applyBorder="1"/>
    <x:xf numFmtId="0" fontId="1" fillId="126" borderId="0" xfId="0" applyNumberFormat="1" applyFont="1" applyFill="1" applyBorder="1" applyAlignment="1">
      <x:alignment wrapText="1"/>
    </x:xf>
    <x:xf numFmtId="0" fontId="1" fillId="126" borderId="0" xfId="0" applyNumberFormat="1" applyFont="1" applyFill="1" applyBorder="1" applyAlignment="1">
      <x:alignment horizontal="center" wrapText="1"/>
    </x:xf>
    <x:xf numFmtId="0" fontId="0" fillId="127" borderId="0" xfId="0" applyNumberFormat="1" applyFont="1" applyFill="1" applyBorder="1"/>
    <x:xf numFmtId="0" fontId="0" fillId="127" borderId="0" xfId="0" applyNumberFormat="1" applyFont="1" applyFill="1" applyBorder="1" applyAlignment="1">
      <x:alignment wrapText="1"/>
    </x:xf>
    <x:xf numFmtId="0" fontId="0" fillId="127" borderId="0" xfId="0" applyNumberFormat="1" applyFont="1" applyFill="1" applyBorder="1" applyAlignment="1">
      <x:alignment vertical="top" wrapText="1"/>
    </x:xf>
    <x:xf numFmtId="0" fontId="0" fillId="128" borderId="0" xfId="0" applyNumberFormat="1" applyFont="1" applyFill="1" applyBorder="1"/>
    <x:xf numFmtId="0" fontId="0" fillId="128" borderId="0" xfId="0" applyNumberFormat="1" applyFont="1" applyFill="1" applyBorder="1" applyAlignment="1">
      <x:alignment wrapText="1"/>
    </x:xf>
    <x:xf numFmtId="0" fontId="0" fillId="128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129" borderId="0" xfId="0" applyNumberFormat="1" applyFont="1" applyFill="1" applyBorder="1"/>
    <x:xf numFmtId="0" fontId="7" fillId="129" borderId="0" xfId="0" applyNumberFormat="1" applyFont="1" applyFill="1" applyBorder="1"/>
    <x:xf numFmtId="0" fontId="7" fillId="129" borderId="0" xfId="0" applyNumberFormat="1" applyFont="1" applyFill="1" applyBorder="1" applyAlignment="1">
      <x:alignment horizontal="center"/>
    </x:xf>
    <x:xf numFmtId="0" fontId="7" fillId="129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 applyAlignment="1">
      <x:alignment vertical="center"/>
    </x:xf>
    <x:xf numFmtId="0" fontId="6" fillId="130" borderId="0" xfId="0" applyNumberFormat="1" applyFont="1" applyFill="1" applyBorder="1" applyAlignment="1">
      <x:alignment vertical="center"/>
    </x:xf>
    <x:xf numFmtId="0" fontId="6" fillId="130" borderId="0" xfId="0" applyNumberFormat="1" applyFont="1" applyFill="1" applyBorder="1" applyAlignment="1">
      <x:alignment horizontal="center" vertical="center"/>
    </x:xf>
    <x:xf numFmtId="201" fontId="6" fillId="130" borderId="0" xfId="0" applyNumberFormat="1" applyFont="1" applyFill="1" applyBorder="1" applyAlignment="1">
      <x:alignment horizontal="center" vertical="center"/>
    </x:xf>
    <x:xf numFmtId="0" fontId="7" fillId="129" borderId="0" xfId="0" applyNumberFormat="1" applyFont="1" applyFill="1" applyBorder="1" applyAlignment="1">
      <x:alignment horizontal="center" vertical="center" wrapText="1"/>
    </x:xf>
    <x:xf numFmtId="0" fontId="6" fillId="130" borderId="0" xfId="0" applyNumberFormat="1" applyFont="1" applyFill="1" applyBorder="1" applyAlignment="1">
      <x:alignment vertical="center" wrapText="1"/>
    </x:xf>
    <x:xf numFmtId="0" fontId="6" fillId="130" borderId="0" xfId="0" applyNumberFormat="1" applyFont="1" applyFill="1" applyBorder="1" applyAlignment="1">
      <x:alignment horizontal="center" vertical="center" wrapText="1"/>
    </x:xf>
    <x:xf numFmtId="201" fontId="6" fillId="130" borderId="0" xfId="0" applyNumberFormat="1" applyFont="1" applyFill="1" applyBorder="1" applyAlignment="1">
      <x:alignment horizontal="center" vertical="center" wrapText="1"/>
    </x:xf>
    <x:xf numFmtId="0" fontId="0" fillId="131" borderId="0" xfId="0" applyNumberFormat="1" applyFont="1" applyFill="1" applyBorder="1"/>
    <x:xf numFmtId="0" fontId="7" fillId="131" borderId="0" xfId="0" applyNumberFormat="1" applyFont="1" applyFill="1" applyBorder="1"/>
    <x:xf numFmtId="0" fontId="7" fillId="131" borderId="0" xfId="0" applyNumberFormat="1" applyFont="1" applyFill="1" applyBorder="1" applyAlignment="1">
      <x:alignment horizontal="center"/>
    </x:xf>
    <x:xf numFmtId="0" fontId="0" fillId="132" borderId="0" xfId="0" applyNumberFormat="1" applyFont="1" applyFill="1" applyBorder="1"/>
    <x:xf numFmtId="0" fontId="6" fillId="132" borderId="0" xfId="0" applyNumberFormat="1" applyFont="1" applyFill="1" applyBorder="1"/>
    <x:xf numFmtId="0" fontId="7" fillId="131" borderId="0" xfId="0" applyNumberFormat="1" applyFont="1" applyFill="1" applyBorder="1" applyAlignment="1">
      <x:alignment horizontal="center" vertical="center"/>
    </x:xf>
    <x:xf numFmtId="0" fontId="6" fillId="132" borderId="0" xfId="0" applyNumberFormat="1" applyFont="1" applyFill="1" applyBorder="1" applyAlignment="1">
      <x:alignment vertical="center"/>
    </x:xf>
    <x:xf numFmtId="0" fontId="7" fillId="131" borderId="0" xfId="0" applyNumberFormat="1" applyFont="1" applyFill="1" applyBorder="1" applyAlignment="1">
      <x:alignment horizontal="center" vertical="center" wrapText="1"/>
    </x:xf>
    <x:xf numFmtId="0" fontId="6" fillId="132" borderId="0" xfId="0" applyNumberFormat="1" applyFont="1" applyFill="1" applyBorder="1" applyAlignment="1">
      <x:alignment vertical="center" wrapText="1"/>
    </x:xf>
    <x:xf numFmtId="0" fontId="6" fillId="132" borderId="0" xfId="0" applyNumberFormat="1" applyFont="1" applyFill="1" applyBorder="1" applyAlignment="1">
      <x:alignment horizontal="center" vertical="center" wrapText="1"/>
    </x:xf>
    <x:xf numFmtId="0" fontId="0" fillId="133" borderId="0" xfId="0" applyNumberFormat="1" applyFont="1" applyFill="1" applyBorder="1"/>
    <x:xf numFmtId="0" fontId="7" fillId="133" borderId="0" xfId="0" applyNumberFormat="1" applyFont="1" applyFill="1" applyBorder="1"/>
    <x:xf numFmtId="0" fontId="0" fillId="134" borderId="0" xfId="0" applyNumberFormat="1" applyFont="1" applyFill="1" applyBorder="1"/>
    <x:xf numFmtId="0" fontId="6" fillId="134" borderId="0" xfId="0" applyNumberFormat="1" applyFont="1" applyFill="1" applyBorder="1"/>
    <x:xf numFmtId="0" fontId="7" fillId="133" borderId="0" xfId="0" applyNumberFormat="1" applyFont="1" applyFill="1" applyBorder="1" applyAlignment="1">
      <x:alignment wrapText="1"/>
    </x:xf>
    <x:xf numFmtId="0" fontId="6" fillId="134" borderId="0" xfId="0" applyNumberFormat="1" applyFont="1" applyFill="1" applyBorder="1" applyAlignment="1">
      <x:alignment wrapText="1"/>
    </x:xf>
    <x:xf numFmtId="0" fontId="7" fillId="133" borderId="0" xfId="0" applyNumberFormat="1" applyFont="1" applyFill="1" applyBorder="1" applyAlignment="1">
      <x:alignment vertical="center" wrapText="1"/>
    </x:xf>
    <x:xf numFmtId="0" fontId="6" fillId="134" borderId="0" xfId="0" applyNumberFormat="1" applyFont="1" applyFill="1" applyBorder="1" applyAlignment="1">
      <x:alignment vertical="center" wrapText="1"/>
    </x:xf>
    <x:xf numFmtId="0" fontId="7" fillId="133" borderId="0" xfId="0" applyNumberFormat="1" applyFont="1" applyFill="1" applyBorder="1" applyAlignment="1">
      <x:alignment horizontal="left" vertical="center" wrapText="1"/>
    </x:xf>
    <x:xf numFmtId="0" fontId="0" fillId="135" borderId="0" xfId="0" applyNumberFormat="1" applyFont="1" applyFill="1" applyBorder="1"/>
    <x:xf numFmtId="0" fontId="7" fillId="135" borderId="0" xfId="0" applyNumberFormat="1" applyFont="1" applyFill="1" applyBorder="1"/>
    <x:xf numFmtId="0" fontId="7" fillId="135" borderId="0" xfId="0" applyNumberFormat="1" applyFont="1" applyFill="1" applyBorder="1" applyAlignment="1">
      <x:alignment wrapText="1"/>
    </x:xf>
    <x:xf numFmtId="0" fontId="7" fillId="135" borderId="0" xfId="0" applyNumberFormat="1" applyFont="1" applyFill="1" applyBorder="1" applyAlignment="1">
      <x:alignment horizontal="center" wrapText="1"/>
    </x:xf>
    <x:xf numFmtId="0" fontId="7" fillId="135" borderId="0" xfId="0" applyNumberFormat="1" applyFont="1" applyFill="1" applyBorder="1" applyAlignment="1">
      <x:alignment horizontal="center" vertical="center" wrapText="1"/>
    </x:xf>
    <x:xf numFmtId="0" fontId="0" fillId="136" borderId="0" xfId="0" applyNumberFormat="1" applyFont="1" applyFill="1" applyBorder="1"/>
    <x:xf numFmtId="0" fontId="6" fillId="136" borderId="0" xfId="0" applyNumberFormat="1" applyFont="1" applyFill="1" applyBorder="1"/>
    <x:xf numFmtId="0" fontId="6" fillId="136" borderId="0" xfId="0" applyNumberFormat="1" applyFont="1" applyFill="1" applyBorder="1" applyAlignment="1">
      <x:alignment wrapText="1"/>
    </x:xf>
    <x:xf numFmtId="0" fontId="6" fillId="136" borderId="0" xfId="0" applyNumberFormat="1" applyFont="1" applyFill="1" applyBorder="1" applyAlignment="1">
      <x:alignment vertical="center" wrapText="1"/>
    </x:xf>
    <x:xf numFmtId="0" fontId="0" fillId="137" borderId="0" xfId="0" applyNumberFormat="1" applyFont="1" applyFill="1" applyBorder="1"/>
    <x:xf numFmtId="0" fontId="6" fillId="137" borderId="0" xfId="0" applyNumberFormat="1" applyFont="1" applyFill="1" applyBorder="1"/>
    <x:xf numFmtId="200" fontId="6" fillId="137" borderId="0" xfId="0" applyNumberFormat="1" applyFont="1" applyFill="1" applyBorder="1"/>
    <x:xf numFmtId="200" fontId="6" fillId="137" borderId="0" xfId="0" applyNumberFormat="1" applyFont="1" applyFill="1" applyBorder="1" applyAlignment="1">
      <x:alignment horizontal="center"/>
    </x:xf>
    <x:xf numFmtId="200" fontId="6" fillId="137" borderId="0" xfId="0" applyNumberFormat="1" applyFont="1" applyFill="1" applyBorder="1" applyAlignment="1">
      <x:alignment horizontal="center" vertical="center"/>
    </x:xf>
    <x:xf numFmtId="0" fontId="1" fillId="135" borderId="0" xfId="0" applyNumberFormat="1" applyFont="1" applyFill="1" applyBorder="1"/>
    <x:xf numFmtId="0" fontId="1" fillId="135" borderId="0" xfId="0" applyNumberFormat="1" applyFont="1" applyFill="1" applyBorder="1" applyAlignment="1">
      <x:alignment horizontal="center"/>
    </x:xf>
    <x:xf numFmtId="0" fontId="0" fillId="138" borderId="0" xfId="0" applyNumberFormat="1" applyFont="1" applyFill="1" applyBorder="1"/>
    <x:xf numFmtId="0" fontId="0" fillId="138" borderId="0" xfId="0" applyNumberFormat="1" applyFont="1" applyFill="1" applyBorder="1" applyAlignment="1">
      <x:alignment wrapText="1"/>
    </x:xf>
    <x:xf numFmtId="0" fontId="0" fillId="138" borderId="0" xfId="0" applyNumberFormat="1" applyFont="1" applyFill="1" applyBorder="1" applyAlignment="1">
      <x:alignment vertical="center" wrapText="1"/>
    </x:xf>
    <x:xf numFmtId="200" fontId="6" fillId="5" borderId="0" xfId="0" applyNumberFormat="1" applyFont="1" applyFill="1" applyBorder="1" applyAlignment="1">
      <x:alignment horizontal="center" vertical="center"/>
    </x:xf>
    <x:xf numFmtId="0" fontId="0" fillId="139" borderId="0" xfId="0" applyNumberFormat="1" applyFont="1" applyFill="1" applyBorder="1"/>
    <x:xf numFmtId="0" fontId="7" fillId="139" borderId="0" xfId="0" applyNumberFormat="1" applyFont="1" applyFill="1" applyBorder="1"/>
    <x:xf numFmtId="0" fontId="7" fillId="139" borderId="0" xfId="0" applyNumberFormat="1" applyFont="1" applyFill="1" applyBorder="1" applyAlignment="1">
      <x:alignment wrapText="1"/>
    </x:xf>
    <x:xf numFmtId="0" fontId="7" fillId="139" borderId="0" xfId="0" applyNumberFormat="1" applyFont="1" applyFill="1" applyBorder="1" applyAlignment="1">
      <x:alignment horizontal="center" wrapText="1"/>
    </x:xf>
    <x:xf numFmtId="0" fontId="7" fillId="139" borderId="0" xfId="0" applyNumberFormat="1" applyFont="1" applyFill="1" applyBorder="1" applyAlignment="1">
      <x:alignment horizontal="center" vertical="center" wrapText="1"/>
    </x:xf>
    <x:xf numFmtId="0" fontId="0" fillId="140" borderId="0" xfId="0" applyNumberFormat="1" applyFont="1" applyFill="1" applyBorder="1"/>
    <x:xf numFmtId="0" fontId="6" fillId="140" borderId="0" xfId="0" applyNumberFormat="1" applyFont="1" applyFill="1" applyBorder="1"/>
    <x:xf numFmtId="0" fontId="6" fillId="140" borderId="0" xfId="0" applyNumberFormat="1" applyFont="1" applyFill="1" applyBorder="1" applyAlignment="1">
      <x:alignment wrapText="1"/>
    </x:xf>
    <x:xf numFmtId="0" fontId="6" fillId="140" borderId="0" xfId="0" applyNumberFormat="1" applyFont="1" applyFill="1" applyBorder="1" applyAlignment="1">
      <x:alignment vertical="center" wrapText="1"/>
    </x:xf>
    <x:xf numFmtId="0" fontId="6" fillId="140" borderId="0" xfId="0" applyNumberFormat="1" applyFont="1" applyFill="1" applyBorder="1" applyAlignment="1">
      <x:alignment horizontal="center" vertical="center" wrapText="1"/>
    </x:xf>
    <x:xf numFmtId="201" fontId="6" fillId="140" borderId="0" xfId="0" applyNumberFormat="1" applyFont="1" applyFill="1" applyBorder="1" applyAlignment="1">
      <x:alignment horizontal="center" vertical="center" wrapText="1"/>
    </x:xf>
    <x:xf numFmtId="0" fontId="0" fillId="141" borderId="0" xfId="0" applyNumberFormat="1" applyFont="1" applyFill="1" applyBorder="1"/>
    <x:xf numFmtId="0" fontId="7" fillId="141" borderId="0" xfId="0" applyNumberFormat="1" applyFont="1" applyFill="1" applyBorder="1"/>
    <x:xf numFmtId="0" fontId="7" fillId="141" borderId="0" xfId="0" applyNumberFormat="1" applyFont="1" applyFill="1" applyBorder="1" applyAlignment="1">
      <x:alignment horizontal="center"/>
    </x:xf>
    <x:xf numFmtId="0" fontId="0" fillId="142" borderId="0" xfId="0" applyNumberFormat="1" applyFont="1" applyFill="1" applyBorder="1"/>
    <x:xf numFmtId="0" fontId="6" fillId="142" borderId="0" xfId="0" applyNumberFormat="1" applyFont="1" applyFill="1" applyBorder="1"/>
    <x:xf numFmtId="0" fontId="6" fillId="142" borderId="0" xfId="0" applyNumberFormat="1" applyFont="1" applyFill="1" applyBorder="1" applyAlignment="1">
      <x:alignment vertical="center"/>
    </x:xf>
    <x:xf numFmtId="0" fontId="6" fillId="142" borderId="0" xfId="0" applyNumberFormat="1" applyFont="1" applyFill="1" applyBorder="1" applyAlignment="1">
      <x:alignment horizontal="center" vertical="center"/>
    </x:xf>
    <x:xf numFmtId="0" fontId="7" fillId="141" borderId="0" xfId="0" applyNumberFormat="1" applyFont="1" applyFill="1" applyBorder="1" applyAlignment="1">
      <x:alignment horizontal="center" wrapText="1"/>
    </x:xf>
    <x:xf numFmtId="0" fontId="6" fillId="142" borderId="0" xfId="0" applyNumberFormat="1" applyFont="1" applyFill="1" applyBorder="1" applyAlignment="1">
      <x:alignment vertical="center" wrapText="1"/>
    </x:xf>
    <x:xf numFmtId="0" fontId="6" fillId="142" borderId="0" xfId="0" applyNumberFormat="1" applyFont="1" applyFill="1" applyBorder="1" applyAlignment="1">
      <x:alignment horizontal="center" vertical="center" wrapText="1"/>
    </x:xf>
    <x:xf numFmtId="0" fontId="0" fillId="143" borderId="0" xfId="0" applyNumberFormat="1" applyFont="1" applyFill="1" applyBorder="1"/>
    <x:xf numFmtId="0" fontId="6" fillId="143" borderId="0" xfId="0" applyNumberFormat="1" applyFont="1" applyFill="1" applyBorder="1"/>
    <x:xf numFmtId="0" fontId="6" fillId="143" borderId="0" xfId="0" applyNumberFormat="1" applyFont="1" applyFill="1" applyBorder="1" applyAlignment="1">
      <x:alignment wrapText="1"/>
    </x:xf>
    <x:xf numFmtId="0" fontId="6" fillId="143" borderId="0" xfId="0" applyNumberFormat="1" applyFont="1" applyFill="1" applyBorder="1" applyAlignment="1">
      <x:alignment vertical="center" wrapText="1"/>
    </x:xf>
    <x:xf numFmtId="0" fontId="0" fillId="144" borderId="0" xfId="0" applyNumberFormat="1" applyFont="1" applyFill="1" applyBorder="1"/>
    <x:xf numFmtId="0" fontId="7" fillId="144" borderId="0" xfId="0" applyNumberFormat="1" applyFont="1" applyFill="1" applyBorder="1"/>
    <x:xf numFmtId="0" fontId="7" fillId="144" borderId="0" xfId="0" applyNumberFormat="1" applyFont="1" applyFill="1" applyBorder="1" applyAlignment="1">
      <x:alignment wrapText="1"/>
    </x:xf>
    <x:xf numFmtId="0" fontId="7" fillId="144" borderId="0" xfId="0" applyNumberFormat="1" applyFont="1" applyFill="1" applyBorder="1" applyAlignment="1">
      <x:alignment horizontal="center" wrapText="1"/>
    </x:xf>
    <x:xf numFmtId="0" fontId="7" fillId="144" borderId="0" xfId="0" applyNumberFormat="1" applyFont="1" applyFill="1" applyBorder="1" applyAlignment="1">
      <x:alignment horizontal="center" vertical="center" wrapText="1"/>
    </x:xf>
    <x:xf numFmtId="0" fontId="0" fillId="145" borderId="0" xfId="0" applyNumberFormat="1" applyFont="1" applyFill="1" applyBorder="1"/>
    <x:xf numFmtId="0" fontId="6" fillId="145" borderId="0" xfId="0" applyNumberFormat="1" applyFont="1" applyFill="1" applyBorder="1"/>
    <x:xf numFmtId="0" fontId="6" fillId="145" borderId="0" xfId="0" applyNumberFormat="1" applyFont="1" applyFill="1" applyBorder="1" applyAlignment="1">
      <x:alignment wrapText="1"/>
    </x:xf>
    <x:xf numFmtId="0" fontId="6" fillId="145" borderId="0" xfId="0" applyNumberFormat="1" applyFont="1" applyFill="1" applyBorder="1" applyAlignment="1">
      <x:alignment vertical="center" wrapText="1"/>
    </x:xf>
    <x:xf numFmtId="0" fontId="0" fillId="146" borderId="0" xfId="0" applyNumberFormat="1" applyFont="1" applyFill="1" applyBorder="1"/>
    <x:xf numFmtId="0" fontId="6" fillId="146" borderId="0" xfId="0" applyNumberFormat="1" applyFont="1" applyFill="1" applyBorder="1"/>
    <x:xf numFmtId="200" fontId="6" fillId="146" borderId="0" xfId="0" applyNumberFormat="1" applyFont="1" applyFill="1" applyBorder="1"/>
    <x:xf numFmtId="200" fontId="6" fillId="146" borderId="0" xfId="0" applyNumberFormat="1" applyFont="1" applyFill="1" applyBorder="1" applyAlignment="1">
      <x:alignment horizontal="center"/>
    </x:xf>
    <x:xf numFmtId="200" fontId="6" fillId="146" borderId="0" xfId="0" applyNumberFormat="1" applyFont="1" applyFill="1" applyBorder="1" applyAlignment="1">
      <x:alignment horizontal="center" vertical="center"/>
    </x:xf>
    <x:xf numFmtId="0" fontId="0" fillId="147" borderId="0" xfId="0" applyNumberFormat="1" applyFont="1" applyFill="1" applyBorder="1"/>
    <x:xf numFmtId="0" fontId="7" fillId="147" borderId="0" xfId="0" applyNumberFormat="1" applyFont="1" applyFill="1" applyBorder="1"/>
    <x:xf numFmtId="0" fontId="7" fillId="147" borderId="0" xfId="0" applyNumberFormat="1" applyFont="1" applyFill="1" applyBorder="1" applyAlignment="1">
      <x:alignment wrapText="1"/>
    </x:xf>
    <x:xf numFmtId="0" fontId="7" fillId="147" borderId="0" xfId="0" applyNumberFormat="1" applyFont="1" applyFill="1" applyBorder="1" applyAlignment="1">
      <x:alignment horizontal="center" wrapText="1"/>
    </x:xf>
    <x:xf numFmtId="0" fontId="7" fillId="147" borderId="0" xfId="0" applyNumberFormat="1" applyFont="1" applyFill="1" applyBorder="1" applyAlignment="1">
      <x:alignment horizontal="center" vertical="center" wrapText="1"/>
    </x:xf>
    <x:xf numFmtId="0" fontId="0" fillId="148" borderId="0" xfId="0" applyNumberFormat="1" applyFont="1" applyFill="1" applyBorder="1"/>
    <x:xf numFmtId="0" fontId="6" fillId="148" borderId="0" xfId="0" applyNumberFormat="1" applyFont="1" applyFill="1" applyBorder="1"/>
    <x:xf numFmtId="0" fontId="6" fillId="148" borderId="0" xfId="0" applyNumberFormat="1" applyFont="1" applyFill="1" applyBorder="1" applyAlignment="1">
      <x:alignment wrapText="1"/>
    </x:xf>
    <x:xf numFmtId="0" fontId="6" fillId="148" borderId="0" xfId="0" applyNumberFormat="1" applyFont="1" applyFill="1" applyBorder="1" applyAlignment="1">
      <x:alignment vertical="center" wrapText="1"/>
    </x:xf>
    <x:xf numFmtId="0" fontId="6" fillId="148" borderId="0" xfId="0" applyNumberFormat="1" applyFont="1" applyFill="1" applyBorder="1" applyAlignment="1">
      <x:alignment horizontal="center" vertical="center" wrapText="1"/>
    </x:xf>
    <x:xf numFmtId="201" fontId="6" fillId="148" borderId="0" xfId="0" applyNumberFormat="1" applyFont="1" applyFill="1" applyBorder="1" applyAlignment="1">
      <x:alignment horizontal="center" vertical="center" wrapText="1"/>
    </x:xf>
    <x:xf numFmtId="0" fontId="0" fillId="149" borderId="0" xfId="0" applyNumberFormat="1" applyFont="1" applyFill="1" applyBorder="1"/>
    <x:xf numFmtId="0" fontId="6" fillId="149" borderId="0" xfId="0" applyNumberFormat="1" applyFont="1" applyFill="1" applyBorder="1"/>
    <x:xf numFmtId="0" fontId="6" fillId="149" borderId="0" xfId="0" applyNumberFormat="1" applyFont="1" applyFill="1" applyBorder="1" applyAlignment="1">
      <x:alignment wrapText="1"/>
    </x:xf>
    <x:xf numFmtId="0" fontId="6" fillId="149" borderId="0" xfId="0" applyNumberFormat="1" applyFont="1" applyFill="1" applyBorder="1" applyAlignment="1">
      <x:alignment vertical="center" wrapText="1"/>
    </x:xf>
    <x:xf numFmtId="0" fontId="0" fillId="150" borderId="0" xfId="0" applyNumberFormat="1" applyFont="1" applyFill="1" applyBorder="1"/>
    <x:xf numFmtId="0" fontId="7" fillId="150" borderId="0" xfId="0" applyNumberFormat="1" applyFont="1" applyFill="1" applyBorder="1"/>
    <x:xf numFmtId="0" fontId="7" fillId="150" borderId="0" xfId="0" applyNumberFormat="1" applyFont="1" applyFill="1" applyBorder="1" applyAlignment="1">
      <x:alignment wrapText="1"/>
    </x:xf>
    <x:xf numFmtId="0" fontId="7" fillId="150" borderId="0" xfId="0" applyNumberFormat="1" applyFont="1" applyFill="1" applyBorder="1" applyAlignment="1">
      <x:alignment horizontal="center" wrapText="1"/>
    </x:xf>
    <x:xf numFmtId="0" fontId="7" fillId="150" borderId="0" xfId="0" applyNumberFormat="1" applyFont="1" applyFill="1" applyBorder="1" applyAlignment="1">
      <x:alignment horizontal="center" vertical="center" wrapText="1"/>
    </x:xf>
    <x:xf numFmtId="0" fontId="0" fillId="151" borderId="0" xfId="0" applyNumberFormat="1" applyFont="1" applyFill="1" applyBorder="1"/>
    <x:xf numFmtId="0" fontId="6" fillId="151" borderId="0" xfId="0" applyNumberFormat="1" applyFont="1" applyFill="1" applyBorder="1"/>
    <x:xf numFmtId="200" fontId="6" fillId="151" borderId="0" xfId="0" applyNumberFormat="1" applyFont="1" applyFill="1" applyBorder="1"/>
    <x:xf numFmtId="200" fontId="6" fillId="151" borderId="0" xfId="0" applyNumberFormat="1" applyFont="1" applyFill="1" applyBorder="1" applyAlignment="1">
      <x:alignment horizontal="center"/>
    </x:xf>
    <x:xf numFmtId="200" fontId="6" fillId="151" borderId="0" xfId="0" applyNumberFormat="1" applyFont="1" applyFill="1" applyBorder="1" applyAlignment="1">
      <x:alignment horizontal="center" vertical="center"/>
    </x:xf>
    <x:xf numFmtId="0" fontId="7" fillId="150" borderId="0" xfId="0" applyNumberFormat="1" applyFont="1" applyFill="1" applyBorder="1" applyAlignment="1">
      <x:alignment horizontal="center"/>
    </x:xf>
    <x:xf numFmtId="0" fontId="6" fillId="151" borderId="0" xfId="0" applyNumberFormat="1" applyFont="1" applyFill="1" applyBorder="1" applyAlignment="1">
      <x:alignment wrapText="1"/>
    </x:xf>
    <x:xf numFmtId="0" fontId="6" fillId="151" borderId="0" xfId="0" applyNumberFormat="1" applyFont="1" applyFill="1" applyBorder="1" applyAlignment="1">
      <x:alignment vertical="center" wrapText="1"/>
    </x:xf>
    <x:xf numFmtId="0" fontId="6" fillId="151" borderId="0" xfId="0" applyNumberFormat="1" applyFont="1" applyFill="1" applyBorder="1" applyAlignment="1">
      <x:alignment horizontal="center" vertical="center" wrapText="1"/>
    </x:xf>
    <x:xf numFmtId="201" fontId="6" fillId="151" borderId="0" xfId="0" applyNumberFormat="1" applyFont="1" applyFill="1" applyBorder="1" applyAlignment="1">
      <x:alignment horizontal="center" vertical="center" wrapText="1"/>
    </x:xf>
    <x:xf numFmtId="0" fontId="0" fillId="152" borderId="0" xfId="0" applyNumberFormat="1" applyFont="1" applyFill="1" applyBorder="1"/>
    <x:xf numFmtId="0" fontId="7" fillId="152" borderId="0" xfId="0" applyNumberFormat="1" applyFont="1" applyFill="1" applyBorder="1"/>
    <x:xf numFmtId="0" fontId="7" fillId="152" borderId="0" xfId="0" applyNumberFormat="1" applyFont="1" applyFill="1" applyBorder="1" applyAlignment="1">
      <x:alignment wrapText="1"/>
    </x:xf>
    <x:xf numFmtId="0" fontId="7" fillId="152" borderId="0" xfId="0" applyNumberFormat="1" applyFont="1" applyFill="1" applyBorder="1" applyAlignment="1">
      <x:alignment horizontal="center" wrapText="1"/>
    </x:xf>
    <x:xf numFmtId="0" fontId="7" fillId="152" borderId="0" xfId="0" applyNumberFormat="1" applyFont="1" applyFill="1" applyBorder="1" applyAlignment="1">
      <x:alignment horizontal="center" vertical="center" wrapText="1"/>
    </x:xf>
    <x:xf numFmtId="0" fontId="0" fillId="153" borderId="0" xfId="0" applyNumberFormat="1" applyFont="1" applyFill="1" applyBorder="1"/>
    <x:xf numFmtId="0" fontId="6" fillId="153" borderId="0" xfId="0" applyNumberFormat="1" applyFont="1" applyFill="1" applyBorder="1"/>
    <x:xf numFmtId="0" fontId="6" fillId="153" borderId="0" xfId="0" applyNumberFormat="1" applyFont="1" applyFill="1" applyBorder="1" applyAlignment="1">
      <x:alignment vertical="center"/>
    </x:xf>
    <x:xf numFmtId="0" fontId="6" fillId="153" borderId="0" xfId="0" applyNumberFormat="1" applyFont="1" applyFill="1" applyBorder="1" applyAlignment="1">
      <x:alignment horizontal="center" vertical="center"/>
    </x:xf>
    <x:xf numFmtId="201" fontId="6" fillId="153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0" fontId="7" fillId="152" borderId="0" xfId="0" applyNumberFormat="1" applyFont="1" applyFill="1" applyBorder="1" applyAlignment="1">
      <x:alignment horizontal="center"/>
    </x:xf>
    <x:xf numFmtId="0" fontId="0" fillId="154" borderId="0" xfId="0" applyNumberFormat="1" applyFont="1" applyFill="1" applyBorder="1"/>
    <x:xf numFmtId="201" fontId="0" fillId="154" borderId="0" xfId="0" applyNumberFormat="1" applyFont="1" applyFill="1" applyBorder="1"/>
    <x:xf numFmtId="0" fontId="6" fillId="154" borderId="0" xfId="0" applyNumberFormat="1" applyFont="1" applyFill="1" applyBorder="1"/>
    <x:xf numFmtId="201" fontId="6" fillId="154" borderId="0" xfId="0" applyNumberFormat="1" applyFont="1" applyFill="1" applyBorder="1"/>
    <x:xf numFmtId="0" fontId="6" fillId="154" borderId="0" xfId="0" applyNumberFormat="1" applyFont="1" applyFill="1" applyBorder="1" applyAlignment="1">
      <x:alignment wrapText="1"/>
    </x:xf>
    <x:xf numFmtId="201" fontId="6" fillId="154" borderId="0" xfId="0" applyNumberFormat="1" applyFont="1" applyFill="1" applyBorder="1" applyAlignment="1">
      <x:alignment wrapText="1"/>
    </x:xf>
    <x:xf numFmtId="0" fontId="6" fillId="154" borderId="0" xfId="0" applyNumberFormat="1" applyFont="1" applyFill="1" applyBorder="1" applyAlignment="1">
      <x:alignment vertical="center" wrapText="1"/>
    </x:xf>
    <x:xf numFmtId="201" fontId="6" fillId="154" borderId="0" xfId="0" applyNumberFormat="1" applyFont="1" applyFill="1" applyBorder="1" applyAlignment="1">
      <x:alignment vertical="center" wrapText="1"/>
    </x:xf>
    <x:xf numFmtId="0" fontId="6" fillId="154" borderId="0" xfId="0" applyNumberFormat="1" applyFont="1" applyFill="1" applyBorder="1" applyAlignment="1">
      <x:alignment horizontal="center" vertical="center" wrapText="1"/>
    </x:xf>
    <x:xf numFmtId="201" fontId="6" fillId="154" borderId="0" xfId="0" applyNumberFormat="1" applyFont="1" applyFill="1" applyBorder="1" applyAlignment="1">
      <x:alignment horizontal="center" vertical="center" wrapText="1"/>
    </x:xf>
    <x:xf numFmtId="0" fontId="0" fillId="155" borderId="0" xfId="0" applyNumberFormat="1" applyFont="1" applyFill="1" applyBorder="1"/>
    <x:xf numFmtId="0" fontId="6" fillId="155" borderId="0" xfId="0" applyNumberFormat="1" applyFont="1" applyFill="1" applyBorder="1"/>
    <x:xf numFmtId="0" fontId="6" fillId="155" borderId="0" xfId="0" applyNumberFormat="1" applyFont="1" applyFill="1" applyBorder="1" applyAlignment="1">
      <x:alignment wrapText="1"/>
    </x:xf>
    <x:xf numFmtId="0" fontId="6" fillId="155" borderId="0" xfId="0" applyNumberFormat="1" applyFont="1" applyFill="1" applyBorder="1" applyAlignment="1">
      <x:alignment vertical="center" wrapText="1"/>
    </x:xf>
    <x:xf numFmtId="0" fontId="0" fillId="156" borderId="0" xfId="0" applyNumberFormat="1" applyFont="1" applyFill="1" applyBorder="1"/>
    <x:xf numFmtId="0" fontId="7" fillId="156" borderId="0" xfId="0" applyNumberFormat="1" applyFont="1" applyFill="1" applyBorder="1"/>
    <x:xf numFmtId="0" fontId="7" fillId="156" borderId="0" xfId="0" applyNumberFormat="1" applyFont="1" applyFill="1" applyBorder="1" applyAlignment="1">
      <x:alignment wrapText="1"/>
    </x:xf>
    <x:xf numFmtId="0" fontId="7" fillId="156" borderId="0" xfId="0" applyNumberFormat="1" applyFont="1" applyFill="1" applyBorder="1" applyAlignment="1">
      <x:alignment horizontal="center" wrapText="1"/>
    </x:xf>
    <x:xf numFmtId="0" fontId="7" fillId="156" borderId="0" xfId="0" applyNumberFormat="1" applyFont="1" applyFill="1" applyBorder="1" applyAlignment="1">
      <x:alignment horizontal="center" vertical="center" wrapText="1"/>
    </x:xf>
    <x:xf numFmtId="0" fontId="0" fillId="157" borderId="0" xfId="0" applyNumberFormat="1" applyFont="1" applyFill="1" applyBorder="1"/>
    <x:xf numFmtId="0" fontId="6" fillId="157" borderId="0" xfId="0" applyNumberFormat="1" applyFont="1" applyFill="1" applyBorder="1"/>
    <x:xf numFmtId="0" fontId="6" fillId="157" borderId="0" xfId="0" applyNumberFormat="1" applyFont="1" applyFill="1" applyBorder="1" applyAlignment="1">
      <x:alignment wrapText="1"/>
    </x:xf>
    <x:xf numFmtId="0" fontId="6" fillId="157" borderId="0" xfId="0" applyNumberFormat="1" applyFont="1" applyFill="1" applyBorder="1" applyAlignment="1">
      <x:alignment vertical="center" wrapText="1"/>
    </x:xf>
    <x:xf numFmtId="0" fontId="0" fillId="158" borderId="0" xfId="0" applyNumberFormat="1" applyFont="1" applyFill="1" applyBorder="1"/>
    <x:xf numFmtId="0" fontId="6" fillId="158" borderId="0" xfId="0" applyNumberFormat="1" applyFont="1" applyFill="1" applyBorder="1"/>
    <x:xf numFmtId="200" fontId="6" fillId="158" borderId="0" xfId="0" applyNumberFormat="1" applyFont="1" applyFill="1" applyBorder="1"/>
    <x:xf numFmtId="200" fontId="6" fillId="158" borderId="0" xfId="0" applyNumberFormat="1" applyFont="1" applyFill="1" applyBorder="1" applyAlignment="1">
      <x:alignment horizontal="center"/>
    </x:xf>
    <x:xf numFmtId="200" fontId="6" fillId="158" borderId="0" xfId="0" applyNumberFormat="1" applyFont="1" applyFill="1" applyBorder="1" applyAlignment="1">
      <x:alignment horizontal="center" vertical="center"/>
    </x:xf>
    <x:xf numFmtId="0" fontId="0" fillId="159" borderId="0" xfId="0" applyNumberFormat="1" applyFont="1" applyFill="1" applyBorder="1"/>
    <x:xf numFmtId="0" fontId="6" fillId="159" borderId="0" xfId="0" applyNumberFormat="1" applyFont="1" applyFill="1" applyBorder="1"/>
    <x:xf numFmtId="0" fontId="6" fillId="159" borderId="0" xfId="0" applyNumberFormat="1" applyFont="1" applyFill="1" applyBorder="1" applyAlignment="1">
      <x:alignment horizontal="center"/>
    </x:xf>
    <x:xf numFmtId="0" fontId="6" fillId="159" borderId="0" xfId="0" applyNumberFormat="1" applyFont="1" applyFill="1" applyBorder="1" applyAlignment="1">
      <x:alignment horizontal="center" vertical="center"/>
    </x:xf>
    <x:xf numFmtId="0" fontId="1" fillId="156" borderId="0" xfId="0" applyNumberFormat="1" applyFont="1" applyFill="1" applyBorder="1"/>
    <x:xf numFmtId="0" fontId="1" fillId="156" borderId="0" xfId="0" applyNumberFormat="1" applyFont="1" applyFill="1" applyBorder="1" applyAlignment="1">
      <x:alignment horizontal="center"/>
    </x:xf>
    <x:xf numFmtId="0" fontId="0" fillId="159" borderId="0" xfId="0" applyNumberFormat="1" applyFont="1" applyFill="1" applyBorder="1" applyAlignment="1">
      <x:alignment wrapText="1"/>
    </x:xf>
    <x:xf numFmtId="200" fontId="6" fillId="12" borderId="0" xfId="0" applyNumberFormat="1" applyFont="1" applyFill="1" applyBorder="1" applyAlignment="1">
      <x:alignment horizontal="center" vertical="center"/>
    </x:xf>
    <x:xf numFmtId="0" fontId="0" fillId="160" borderId="0" xfId="0" applyNumberFormat="1" applyFont="1" applyFill="1" applyBorder="1"/>
    <x:xf numFmtId="0" fontId="7" fillId="160" borderId="0" xfId="0" applyNumberFormat="1" applyFont="1" applyFill="1" applyBorder="1"/>
    <x:xf numFmtId="0" fontId="7" fillId="160" borderId="0" xfId="0" applyNumberFormat="1" applyFont="1" applyFill="1" applyBorder="1" applyAlignment="1">
      <x:alignment wrapText="1"/>
    </x:xf>
    <x:xf numFmtId="0" fontId="7" fillId="160" borderId="0" xfId="0" applyNumberFormat="1" applyFont="1" applyFill="1" applyBorder="1" applyAlignment="1">
      <x:alignment horizontal="center" wrapText="1"/>
    </x:xf>
    <x:xf numFmtId="0" fontId="7" fillId="160" borderId="0" xfId="0" applyNumberFormat="1" applyFont="1" applyFill="1" applyBorder="1" applyAlignment="1">
      <x:alignment horizontal="center" vertical="center" wrapText="1"/>
    </x:xf>
    <x:xf numFmtId="0" fontId="0" fillId="161" borderId="0" xfId="0" applyNumberFormat="1" applyFont="1" applyFill="1" applyBorder="1"/>
    <x:xf numFmtId="0" fontId="6" fillId="161" borderId="0" xfId="0" applyNumberFormat="1" applyFont="1" applyFill="1" applyBorder="1"/>
    <x:xf numFmtId="0" fontId="6" fillId="161" borderId="0" xfId="0" applyNumberFormat="1" applyFont="1" applyFill="1" applyBorder="1" applyAlignment="1">
      <x:alignment wrapText="1"/>
    </x:xf>
    <x:xf numFmtId="0" fontId="6" fillId="161" borderId="0" xfId="0" applyNumberFormat="1" applyFont="1" applyFill="1" applyBorder="1" applyAlignment="1">
      <x:alignment vertical="center" wrapText="1"/>
    </x:xf>
    <x:xf numFmtId="0" fontId="6" fillId="161" borderId="0" xfId="0" applyNumberFormat="1" applyFont="1" applyFill="1" applyBorder="1" applyAlignment="1">
      <x:alignment horizontal="center" vertical="center" wrapText="1"/>
    </x:xf>
    <x:xf numFmtId="201" fontId="6" fillId="161" borderId="0" xfId="0" applyNumberFormat="1" applyFont="1" applyFill="1" applyBorder="1" applyAlignment="1">
      <x:alignment horizontal="center" vertical="center" wrapText="1"/>
    </x:xf>
    <x:xf numFmtId="0" fontId="7" fillId="160" borderId="0" xfId="0" applyNumberFormat="1" applyFont="1" applyFill="1" applyBorder="1" applyAlignment="1">
      <x:alignment horizontal="center"/>
    </x:xf>
    <x:xf numFmtId="0" fontId="0" fillId="162" borderId="0" xfId="0" applyNumberFormat="1" applyFont="1" applyFill="1" applyBorder="1"/>
    <x:xf numFmtId="0" fontId="6" fillId="162" borderId="0" xfId="0" applyNumberFormat="1" applyFont="1" applyFill="1" applyBorder="1"/>
    <x:xf numFmtId="0" fontId="6" fillId="162" borderId="0" xfId="0" applyNumberFormat="1" applyFont="1" applyFill="1" applyBorder="1" applyAlignment="1">
      <x:alignment wrapText="1"/>
    </x:xf>
    <x:xf numFmtId="0" fontId="6" fillId="162" borderId="0" xfId="0" applyNumberFormat="1" applyFont="1" applyFill="1" applyBorder="1" applyAlignment="1">
      <x:alignment vertical="center" wrapText="1"/>
    </x:xf>
    <x:xf numFmtId="0" fontId="6" fillId="162" borderId="0" xfId="0" applyNumberFormat="1" applyFont="1" applyFill="1" applyBorder="1" applyAlignment="1">
      <x:alignment horizontal="center" vertical="center" wrapText="1"/>
    </x:xf>
    <x:xf numFmtId="201" fontId="6" fillId="162" borderId="0" xfId="0" applyNumberFormat="1" applyFont="1" applyFill="1" applyBorder="1" applyAlignment="1">
      <x:alignment horizontal="center" vertical="center" wrapText="1"/>
    </x:xf>
    <x:xf numFmtId="0" fontId="0" fillId="163" borderId="0" xfId="0" applyNumberFormat="1" applyFont="1" applyFill="1" applyBorder="1"/>
    <x:xf numFmtId="0" fontId="6" fillId="163" borderId="0" xfId="0" applyNumberFormat="1" applyFont="1" applyFill="1" applyBorder="1"/>
    <x:xf numFmtId="0" fontId="6" fillId="163" borderId="0" xfId="0" applyNumberFormat="1" applyFont="1" applyFill="1" applyBorder="1" applyAlignment="1">
      <x:alignment wrapText="1"/>
    </x:xf>
    <x:xf numFmtId="0" fontId="6" fillId="163" borderId="0" xfId="0" applyNumberFormat="1" applyFont="1" applyFill="1" applyBorder="1" applyAlignment="1">
      <x:alignment vertical="center" wrapText="1"/>
    </x:xf>
    <x:xf numFmtId="0" fontId="0" fillId="164" borderId="0" xfId="0" applyNumberFormat="1" applyFont="1" applyFill="1" applyBorder="1"/>
    <x:xf numFmtId="0" fontId="8" fillId="164" borderId="0" xfId="0" applyNumberFormat="1" applyFont="1" applyFill="1" applyBorder="1"/>
    <x:xf numFmtId="0" fontId="8" fillId="164" borderId="0" xfId="0" applyNumberFormat="1" applyFont="1" applyFill="1" applyBorder="1" applyAlignment="1">
      <x:alignment wrapText="1"/>
    </x:xf>
    <x:xf numFmtId="0" fontId="8" fillId="164" borderId="0" xfId="0" applyNumberFormat="1" applyFont="1" applyFill="1" applyBorder="1" applyAlignment="1">
      <x:alignment vertical="center" wrapText="1"/>
    </x:xf>
    <x:xf numFmtId="0" fontId="0" fillId="165" borderId="0" xfId="0" applyNumberFormat="1" applyFont="1" applyFill="1" applyBorder="1"/>
    <x:xf numFmtId="0" fontId="6" fillId="165" borderId="0" xfId="0" applyNumberFormat="1" applyFont="1" applyFill="1" applyBorder="1"/>
    <x:xf numFmtId="0" fontId="6" fillId="165" borderId="0" xfId="0" applyNumberFormat="1" applyFont="1" applyFill="1" applyBorder="1" applyAlignment="1">
      <x:alignment wrapText="1"/>
    </x:xf>
    <x:xf numFmtId="0" fontId="6" fillId="165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c747e954004213" /><Relationship Type="http://schemas.openxmlformats.org/officeDocument/2006/relationships/theme" Target="/xl/theme/theme1.xml" Id="R2cf9c1a65210439b" /><Relationship Type="http://schemas.openxmlformats.org/officeDocument/2006/relationships/sheetMetadata" Target="/xl/metadata1.xml" Id="R3acea7b043f64f4c" /><Relationship Type="http://schemas.openxmlformats.org/officeDocument/2006/relationships/sharedStrings" Target="/xl/sharedStrings.xml" Id="R392017c327944c54" /><Relationship Type="http://schemas.openxmlformats.org/officeDocument/2006/relationships/worksheet" Target="/xl/worksheets/sheet1.xml" Id="Re37ec078efbb4539" /><Relationship Type="http://schemas.openxmlformats.org/officeDocument/2006/relationships/worksheet" Target="/xl/worksheets/sheet2.xml" Id="R52a93d77b5fb47c5" /><Relationship Type="http://schemas.openxmlformats.org/officeDocument/2006/relationships/worksheet" Target="/xl/worksheets/sheet3.xml" Id="R54e0f3d9ab71409b" /><Relationship Type="http://schemas.openxmlformats.org/officeDocument/2006/relationships/worksheet" Target="/xl/worksheets/sheet4.xml" Id="R35f6efaf2bbb46da" /><Relationship Type="http://schemas.openxmlformats.org/officeDocument/2006/relationships/worksheet" Target="/xl/worksheets/sheet5.xml" Id="Ra3fb4c993e594e81" /><Relationship Type="http://schemas.openxmlformats.org/officeDocument/2006/relationships/worksheet" Target="/xl/worksheets/sheet6.xml" Id="Ra2c642554e5a44d2" /><Relationship Type="http://schemas.openxmlformats.org/officeDocument/2006/relationships/worksheet" Target="/xl/worksheets/sheet7.xml" Id="Rba36bede5e8141de" /><Relationship Type="http://schemas.openxmlformats.org/officeDocument/2006/relationships/worksheet" Target="/xl/worksheets/sheet8.xml" Id="R9d357f8b4d634917" /><Relationship Type="http://schemas.openxmlformats.org/officeDocument/2006/relationships/worksheet" Target="/xl/worksheets/sheet9.xml" Id="R5b2ecc1128fb4de9" /><Relationship Type="http://schemas.openxmlformats.org/officeDocument/2006/relationships/worksheet" Target="/xl/worksheets/sheet10.xml" Id="Rccb0d30656dd4779" /><Relationship Type="http://schemas.openxmlformats.org/officeDocument/2006/relationships/worksheet" Target="/xl/worksheets/sheet11.xml" Id="R405d68ae68024557" /></Relationships>
</file>

<file path=xl/tables/table1.xml><?xml version="1.0" encoding="utf-8"?>
<x:table xmlns:x="http://schemas.openxmlformats.org/spreadsheetml/2006/main" id="7" name="tbl_q10_map" displayName="tbl_q10_map" ref="EB1:EC10" headerRowCount="1" totalsRowCount="0" totalsRowShown="0">
  <x:tableColumns count="2">
    <x:tableColumn id="1" name="Column1"/>
    <x:tableColumn id="2" name="Column2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8" name="tbl_core_metrics" displayName="tbl_core_metrics" ref="A1:CT21" headerRowCount="1" totalsRowCount="0" totalsRowShown="0">
  <x:tableColumns count="98">
    <x:tableColumn id="1" name="sample_id"/>
    <x:tableColumn id="2" name="final_status"/>
    <x:tableColumn id="3" name="include_in_main_analysis"/>
    <x:tableColumn id="4" name="Q7_最近复现结果"/>
    <x:tableColumn id="5" name="Q8_时间成本"/>
    <x:tableColumn id="6" name="Q8_order_code"/>
    <x:tableColumn id="7" name="Q9_最耗时环节"/>
    <x:tableColumn id="8" name="Q9_展示分类"/>
    <x:tableColumn id="9" name="Q9_其他说明"/>
    <x:tableColumn id="10" name="核对备注"/>
    <x:tableColumn id="11" name="Q10_最易阻塞环节"/>
    <x:tableColumn id="12" name="Q10_展示分类"/>
    <x:tableColumn id="13" name="Q10_其他说明"/>
    <x:tableColumn id="14" name="Q11_投入后发现问题_原始"/>
    <x:tableColumn id="15" name="late_issue_none"/>
    <x:tableColumn id="16" name="late_issue_data_access"/>
    <x:tableColumn id="17" name="late_issue_weight_missing"/>
    <x:tableColumn id="18" name="late_issue_framework_mismatch"/>
    <x:tableColumn id="19" name="late_issue_dependency_conflict"/>
    <x:tableColumn id="20" name="late_issue_resource_insufficient"/>
    <x:tableColumn id="21" name="late_issue_command_config_path_missing"/>
    <x:tableColumn id="22" name="late_issue_evaluation_scope_unclear"/>
    <x:tableColumn id="23" name="late_issue_license_restriction"/>
    <x:tableColumn id="24" name="late_issue_other_flag"/>
    <x:tableColumn id="25" name="late_issue_other_text"/>
    <x:tableColumn id="26" name="Q11_selection_count"/>
    <x:tableColumn id="27" name="late_issue_count"/>
    <x:tableColumn id="28" name="any_late_issue"/>
    <x:tableColumn id="29" name="Q11_exclusive_conflict"/>
    <x:tableColumn id="30" name="Q12_实际使用方式_原始"/>
    <x:tableColumn id="31" name="method_search_engine"/>
    <x:tableColumn id="32" name="method_ai_assistant"/>
    <x:tableColumn id="33" name="method_github"/>
    <x:tableColumn id="34" name="method_docs_source"/>
    <x:tableColumn id="35" name="method_blog_tutorial_video"/>
    <x:tableColumn id="36" name="method_peer_mentor"/>
    <x:tableColumn id="37" name="method_none"/>
    <x:tableColumn id="38" name="method_other_flag"/>
    <x:tableColumn id="39" name="method_other_text"/>
    <x:tableColumn id="40" name="Q12_method_count"/>
    <x:tableColumn id="41" name="Q12_selection_count"/>
    <x:tableColumn id="42" name="any_method_used"/>
    <x:tableColumn id="43" name="Q12_exclusive_conflict"/>
    <x:tableColumn id="44" name="Q13_现有方式不足_原始"/>
    <x:tableColumn id="45" name="shortcoming_none"/>
    <x:tableColumn id="46" name="shortcoming_information_fragmented"/>
    <x:tableColumn id="47" name="shortcoming_no_sources"/>
    <x:tableColumn id="48" name="shortcoming_generic_advice"/>
    <x:tableColumn id="49" name="shortcoming_no_environment_context"/>
    <x:tableColumn id="50" name="shortcoming_no_step_order"/>
    <x:tableColumn id="51" name="shortcoming_no_risk_warning"/>
    <x:tableColumn id="52" name="shortcoming_no_context_continuity"/>
    <x:tableColumn id="53" name="shortcoming_inconsistent_answers"/>
    <x:tableColumn id="54" name="shortcoming_other_flag"/>
    <x:tableColumn id="55" name="shortcoming_other_text"/>
    <x:tableColumn id="56" name="Q13_shortcoming_count"/>
    <x:tableColumn id="57" name="Q13_selection_count"/>
    <x:tableColumn id="58" name="any_shortcoming"/>
    <x:tableColumn id="59" name="Q13_exclusive_conflict"/>
    <x:tableColumn id="60" name="Q14_优先确认信息_原始"/>
    <x:tableColumn id="61" name="priority_data_access"/>
    <x:tableColumn id="62" name="priority_pretrained_weight"/>
    <x:tableColumn id="63" name="priority_version_requirements"/>
    <x:tableColumn id="64" name="priority_resource_requirements"/>
    <x:tableColumn id="65" name="priority_command_config_paths"/>
    <x:tableColumn id="66" name="priority_evaluation_alignment"/>
    <x:tableColumn id="67" name="priority_license_scope"/>
    <x:tableColumn id="68" name="priority_failure_risks"/>
    <x:tableColumn id="69" name="priority_first_step"/>
    <x:tableColumn id="70" name="priority_other_flag"/>
    <x:tableColumn id="71" name="priority_other_text"/>
    <x:tableColumn id="72" name="Q14_selection_count"/>
    <x:tableColumn id="73" name="Q14_over_selection_limit"/>
    <x:tableColumn id="74" name="Q15_读取文件_原始"/>
    <x:tableColumn id="75" name="q15_permission_read_files"/>
    <x:tableColumn id="76" name="Q15_安装依赖_原始"/>
    <x:tableColumn id="77" name="q15_permission_install_dependencies"/>
    <x:tableColumn id="78" name="Q15_修改配置_原始"/>
    <x:tableColumn id="79" name="q15_permission_modify_config"/>
    <x:tableColumn id="80" name="Q15_覆盖文件_原始"/>
    <x:tableColumn id="81" name="q15_permission_overwrite_files"/>
    <x:tableColumn id="82" name="Q15_删除文件_原始"/>
    <x:tableColumn id="83" name="q15_permission_delete_files"/>
    <x:tableColumn id="84" name="Q15_启动任务_原始"/>
    <x:tableColumn id="85" name="q15_permission_run_task"/>
    <x:tableColumn id="86" name="H4_three_high_risk_no_direct"/>
    <x:tableColumn id="87" name="Q16_报告使用分享_原始"/>
    <x:tableColumn id="88" name="report_share_supervisor"/>
    <x:tableColumn id="89" name="report_share_peer"/>
    <x:tableColumn id="90" name="report_share_team"/>
    <x:tableColumn id="91" name="report_self_only"/>
    <x:tableColumn id="92" name="report_not_use_share"/>
    <x:tableColumn id="93" name="report_share_other_flag"/>
    <x:tableColumn id="94" name="report_share_other_text"/>
    <x:tableColumn id="95" name="Q16_selection_count"/>
    <x:tableColumn id="96" name="Q16_external_share_count"/>
    <x:tableColumn id="97" name="any_explicit_share_target"/>
    <x:tableColumn id="98" name="Q16_exclusive_conflic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tbl_q8_distribution" displayName="tbl_q8_distribution" ref="A1:G9" headerRowCount="1" totalsRowCount="0" totalsRowShown="0">
  <x:tableColumns count="7">
    <x:tableColumn id="1" name="原始匹配值"/>
    <x:tableColumn id="2" name="展示分类"/>
    <x:tableColumn id="3" name="数量 n"/>
    <x:tableColumn id="4" name="分母 N"/>
    <x:tableColumn id="5" name="比例"/>
    <x:tableColumn id="6" name="标准报告文本"/>
    <x:tableColumn id="7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630ede6d2a64f84" /><Relationship Type="http://schemas.openxmlformats.org/officeDocument/2006/relationships/table" Target="/xl/tables/table2.xml" Id="R63e751cd7ee74e2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75feac381214562" /></Relationships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42" hidden="0" customWidth="1"/>
  </x:cols>
  <x:sheetData>
    <x:row r="1" ht="30" customHeight="1">
      <x:c r="A1" s="10" t="str">
        <x:v>项目</x:v>
      </x:c>
      <x:c r="B1" s="10" t="str">
        <x:v>内容</x:v>
      </x:c>
    </x:row>
    <x:row r="2" ht="30" customHeight="1">
      <x:c r="A2" s="11" t="str">
        <x:v>数据来源</x:v>
      </x:c>
      <x:c r="B2" s="12" t="str">
        <x:v>20260805_Formal_Samples_Working_V0.1.xlsx</x:v>
      </x:c>
    </x:row>
    <x:row r="3" ht="30" customHeight="1">
      <x:c r="A3" s="11" t="str">
        <x:v>样本筛查来源</x:v>
      </x:c>
      <x:c r="B3" s="12" t="str">
        <x:v>20260805_Sample_Screening_Final_V1.xlsx</x:v>
      </x:c>
    </x:row>
    <x:row r="4" ht="30" customHeight="1">
      <x:c r="A4" s="11" t="str">
        <x:v>原始正式样本</x:v>
      </x:c>
      <x:c r="B4" s="12" t="str">
        <x:v>N_raw=23</x:v>
      </x:c>
    </x:row>
    <x:row r="5" ht="30" customHeight="1">
      <x:c r="A5" s="11" t="str">
        <x:v>有效核心样本</x:v>
      </x:c>
      <x:c r="B5" s="12" t="str">
        <x:v>N_valid=20</x:v>
      </x:c>
    </x:row>
    <x:row r="6" ht="30" customHeight="1">
      <x:c r="A6" s="11" t="str">
        <x:v>待核验样本</x:v>
      </x:c>
      <x:c r="B6" s="12" t="str">
        <x:v>F-005、F-016、F-017</x:v>
      </x:c>
    </x:row>
    <x:row r="7" ht="30" customHeight="1">
      <x:c r="A7" s="11" t="str">
        <x:v>主分析分母</x:v>
      </x:c>
      <x:c r="B7" s="12" t="str">
        <x:v>N=20</x:v>
      </x:c>
    </x:row>
    <x:row r="8" ht="30" customHeight="1">
      <x:c r="A8" s="11" t="str">
        <x:v>本工作簿范围</x:v>
      </x:c>
      <x:c r="B8" s="12" t="str">
        <x:v>Q8—Q16 核心题描述性统计</x:v>
      </x:c>
    </x:row>
    <x:row r="9" ht="30" customHeight="1">
      <x:c r="A9" s="11" t="str">
        <x:v>单选题报告规则</x:v>
      </x:c>
      <x:c r="B9" s="12" t="str">
        <x:v>数量 n、分母 N、比例 %</x:v>
      </x:c>
    </x:row>
    <x:row r="10" ht="48" customHeight="1">
      <x:c r="A10" s="11" t="str">
        <x:v>多选题报告规则</x:v>
      </x:c>
      <x:c r="B10" s="12" t="str">
        <x:v>各类别分别以 N=20 为分母，比例不要求合计为100%</x:v>
      </x:c>
    </x:row>
    <x:row r="11" ht="48" customHeight="1">
      <x:c r="A11" s="11" t="str">
        <x:v>时间成本规则</x:v>
      </x:c>
      <x:c r="B11" s="12" t="str">
        <x:v>报告分布和中位类别，不把有序区间直接计算为平均小时数</x:v>
      </x:c>
    </x:row>
    <x:row r="12" ht="30" customHeight="1">
      <x:c r="A12" s="11" t="str">
        <x:v>使用限制</x:v>
      </x:c>
      <x:c r="B12" s="12" t="str">
        <x:v>便利抽样，仅用于首版问题验证</x:v>
      </x:c>
    </x:row>
    <x:row r="14">
      <x:c r="A14" s="718" t="str">
        <x:v>Q8—Q16结构化核心题统计</x:v>
      </x:c>
      <x:c r="B14" s="722" t="str">
        <x:v>已完成</x:v>
      </x:c>
    </x:row>
    <x:row r="15">
      <x:c r="A15" s="718" t="str">
        <x:v>有效样本分母</x:v>
      </x:c>
      <x:c r="B15" s="722" t="str">
        <x:v>N=20</x:v>
      </x:c>
    </x:row>
    <x:row r="16">
      <x:c r="A16" s="718" t="str">
        <x:v>未找到记录</x:v>
      </x:c>
      <x:c r="B16" s="722" t="n">
        <x:v>0</x:v>
      </x:c>
    </x:row>
    <x:row r="17">
      <x:c r="A17" s="718" t="str">
        <x:v>待处理互斥冲突</x:v>
      </x:c>
      <x:c r="B17" s="722" t="n">
        <x:v>0</x:v>
      </x:c>
    </x:row>
    <x:row r="18">
      <x:c r="A18" s="718" t="str">
        <x:v>待处理未映射值</x:v>
      </x:c>
      <x:c r="B18" s="722" t="n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7" hidden="0" customWidth="1"/>
    <x:col min="3" max="3" width="24" hidden="0" customWidth="1"/>
    <x:col min="4" max="4" width="31" hidden="0" customWidth="1"/>
    <x:col min="5" max="5" width="24" hidden="0" customWidth="1"/>
    <x:col min="6" max="6" width="16" hidden="0" customWidth="1"/>
    <x:col min="7" max="7" width="31" hidden="0" customWidth="1"/>
    <x:col min="9" max="9" width="24" hidden="0" customWidth="1"/>
    <x:col min="10" max="10" width="25" hidden="0" customWidth="1"/>
    <x:col min="11" max="11" width="32" hidden="0" customWidth="1"/>
    <x:col min="8" max="8" width="27" hidden="0" customWidth="1"/>
    <x:col min="12" max="12" width="27" hidden="0" customWidth="1"/>
    <x:col min="13" max="13" width="24" hidden="0" customWidth="1"/>
    <x:col min="14" max="14" width="72" hidden="0" customWidth="1"/>
    <x:col min="16" max="16" width="24" hidden="0" customWidth="1"/>
    <x:col min="17" max="17" width="26" hidden="0" customWidth="1"/>
    <x:col min="18" max="18" width="27" hidden="0" customWidth="1"/>
    <x:col min="19" max="19" width="28" hidden="0" customWidth="1"/>
    <x:col min="21" max="21" width="34" hidden="0" customWidth="1"/>
    <x:col min="22" max="22" width="32" hidden="0" customWidth="1"/>
    <x:col min="27" max="27" width="20" hidden="0" customWidth="1"/>
    <x:col min="28" max="28" width="18" hidden="0" customWidth="1"/>
    <x:col min="29" max="29" width="25" hidden="0" customWidth="1"/>
    <x:col min="30" max="30" width="48" hidden="0" customWidth="1"/>
    <x:col min="32" max="32" width="22" hidden="0" customWidth="1"/>
    <x:col min="33" max="33" width="22" hidden="0" customWidth="1"/>
    <x:col min="35" max="35" width="22" hidden="0" customWidth="1"/>
    <x:col min="36" max="36" width="22" hidden="0" customWidth="1"/>
    <x:col min="15" max="15" width="18" hidden="0" customWidth="1"/>
    <x:col min="20" max="20" width="28" hidden="0" customWidth="1"/>
    <x:col min="23" max="23" width="28" hidden="0" customWidth="1"/>
    <x:col min="24" max="24" width="24" hidden="0" customWidth="1"/>
    <x:col min="25" max="25" width="27" hidden="0" customWidth="1"/>
    <x:col min="26" max="26" width="20" hidden="0" customWidth="1"/>
    <x:col min="56" max="56" width="23" hidden="0" customWidth="1"/>
    <x:col min="57" max="57" width="23" hidden="0" customWidth="1"/>
    <x:col min="46" max="46" width="24" hidden="0" customWidth="1"/>
    <x:col min="47" max="47" width="24" hidden="0" customWidth="1"/>
    <x:col min="31" max="31" width="22" hidden="0" customWidth="1"/>
    <x:col min="34" max="34" width="22" hidden="0" customWidth="1"/>
    <x:col min="37" max="37" width="22" hidden="0" customWidth="1"/>
    <x:col min="38" max="38" width="22" hidden="0" customWidth="1"/>
    <x:col min="39" max="39" width="24" hidden="0" customWidth="1"/>
    <x:col min="40" max="40" width="22" hidden="0" customWidth="1"/>
    <x:col min="41" max="41" width="22" hidden="0" customWidth="1"/>
    <x:col min="42" max="42" width="22" hidden="0" customWidth="1"/>
    <x:col min="43" max="43" width="22" hidden="0" customWidth="1"/>
    <x:col min="72" max="72" width="23" hidden="0" customWidth="1"/>
    <x:col min="73" max="73" width="24" hidden="0" customWidth="1"/>
    <x:col min="75" max="75" width="25" hidden="0" customWidth="1"/>
    <x:col min="76" max="76" width="29" hidden="0" customWidth="1"/>
    <x:col min="61" max="61" width="23" hidden="0" customWidth="1"/>
    <x:col min="62" max="62" width="23" hidden="0" customWidth="1"/>
    <x:col min="44" max="44" width="48" hidden="0" customWidth="1"/>
    <x:col min="45" max="45" width="24" hidden="0" customWidth="1"/>
    <x:col min="48" max="48" width="24" hidden="0" customWidth="1"/>
    <x:col min="49" max="49" width="24" hidden="0" customWidth="1"/>
    <x:col min="50" max="50" width="24" hidden="0" customWidth="1"/>
    <x:col min="51" max="51" width="24" hidden="0" customWidth="1"/>
    <x:col min="52" max="52" width="24" hidden="0" customWidth="1"/>
    <x:col min="53" max="53" width="24" hidden="0" customWidth="1"/>
    <x:col min="54" max="54" width="24" hidden="0" customWidth="1"/>
    <x:col min="55" max="55" width="26" hidden="0" customWidth="1"/>
    <x:col min="58" max="58" width="23" hidden="0" customWidth="1"/>
    <x:col min="59" max="59" width="23" hidden="0" customWidth="1"/>
    <x:col min="93" max="93" width="24" hidden="0" customWidth="1"/>
    <x:col min="94" max="94" width="24" hidden="0" customWidth="1"/>
    <x:col min="96" max="96" width="24" hidden="0" customWidth="1"/>
    <x:col min="97" max="97" width="24" hidden="0" customWidth="1"/>
    <x:col min="60" max="60" width="56" hidden="0" customWidth="1"/>
    <x:col min="63" max="63" width="23" hidden="0" customWidth="1"/>
    <x:col min="64" max="64" width="23" hidden="0" customWidth="1"/>
    <x:col min="65" max="65" width="23" hidden="0" customWidth="1"/>
    <x:col min="66" max="66" width="23" hidden="0" customWidth="1"/>
    <x:col min="67" max="67" width="23" hidden="0" customWidth="1"/>
    <x:col min="68" max="68" width="23" hidden="0" customWidth="1"/>
    <x:col min="69" max="69" width="23" hidden="0" customWidth="1"/>
    <x:col min="70" max="70" width="23" hidden="0" customWidth="1"/>
    <x:col min="71" max="71" width="23" hidden="0" customWidth="1"/>
    <x:col min="113" max="113" width="58" hidden="0" customWidth="1"/>
    <x:col min="114" max="114" width="25" hidden="0" customWidth="1"/>
    <x:col min="74" max="74" width="29" hidden="0" customWidth="1"/>
    <x:col min="78" max="78" width="29" hidden="0" customWidth="1"/>
    <x:col min="80" max="80" width="29" hidden="0" customWidth="1"/>
    <x:col min="82" max="82" width="29" hidden="0" customWidth="1"/>
    <x:col min="84" max="84" width="29" hidden="0" customWidth="1"/>
    <x:col min="77" max="77" width="25" hidden="0" customWidth="1"/>
    <x:col min="79" max="79" width="25" hidden="0" customWidth="1"/>
    <x:col min="81" max="81" width="25" hidden="0" customWidth="1"/>
    <x:col min="83" max="83" width="25" hidden="0" customWidth="1"/>
    <x:col min="85" max="85" width="25" hidden="0" customWidth="1"/>
    <x:col min="86" max="86" width="27" hidden="0" customWidth="1"/>
    <x:col min="87" max="87" width="24" hidden="0" customWidth="1"/>
    <x:col min="88" max="88" width="24" hidden="0" customWidth="1"/>
    <x:col min="89" max="89" width="24" hidden="0" customWidth="1"/>
    <x:col min="90" max="90" width="24" hidden="0" customWidth="1"/>
    <x:col min="91" max="91" width="24" hidden="0" customWidth="1"/>
    <x:col min="92" max="92" width="24" hidden="0" customWidth="1"/>
    <x:col min="95" max="95" width="24" hidden="0" customWidth="1"/>
  </x:cols>
  <x:sheetData>
    <x:row r="1" ht="42" customHeight="1">
      <x:c r="A1" s="163" t="str">
        <x:v>sample_id</x:v>
      </x:c>
      <x:c r="B1" s="164" t="str">
        <x:v>final_status</x:v>
      </x:c>
      <x:c r="C1" s="164" t="str">
        <x:v>include_in_main_analysis</x:v>
      </x:c>
      <x:c r="D1" s="164" t="str">
        <x:v>Q7_最近复现结果</x:v>
      </x:c>
      <x:c r="E1" s="164" t="str">
        <x:v>Q8_时间成本</x:v>
      </x:c>
      <x:c r="F1" s="164" t="str">
        <x:v>Q8_order_code</x:v>
      </x:c>
      <x:c r="G1" s="165" t="str">
        <x:v>Q9_最耗时环节</x:v>
      </x:c>
      <x:c r="H1" s="170" t="str">
        <x:v>Q9_展示分类</x:v>
      </x:c>
      <x:c r="I1" s="170" t="str">
        <x:v>Q9_其他说明</x:v>
      </x:c>
      <x:c r="J1" s="170" t="str">
        <x:v>核对备注</x:v>
      </x:c>
      <x:c r="K1" s="225" t="str">
        <x:v>Q10_最易阻塞环节</x:v>
      </x:c>
      <x:c r="L1" s="225" t="str">
        <x:v>Q10_展示分类</x:v>
      </x:c>
      <x:c r="M1" s="225" t="str">
        <x:v>Q10_其他说明</x:v>
      </x:c>
      <x:c r="N1" s="302" t="str">
        <x:v>Q11_投入后发现问题_原始</x:v>
      </x:c>
      <x:c r="O1" s="302" t="str">
        <x:v>late_issue_none</x:v>
      </x:c>
      <x:c r="P1" s="302" t="str">
        <x:v>late_issue_data_access</x:v>
      </x:c>
      <x:c r="Q1" s="302" t="str">
        <x:v>late_issue_weight_missing</x:v>
      </x:c>
      <x:c r="R1" s="302" t="str">
        <x:v>late_issue_framework_mismatch</x:v>
      </x:c>
      <x:c r="S1" s="302" t="str">
        <x:v>late_issue_dependency_conflict</x:v>
      </x:c>
      <x:c r="T1" s="302" t="str">
        <x:v>late_issue_resource_insufficient</x:v>
      </x:c>
      <x:c r="U1" s="302" t="str">
        <x:v>late_issue_command_config_path_missing</x:v>
      </x:c>
      <x:c r="V1" s="302" t="str">
        <x:v>late_issue_evaluation_scope_unclear</x:v>
      </x:c>
      <x:c r="W1" s="302" t="str">
        <x:v>late_issue_license_restriction</x:v>
      </x:c>
      <x:c r="X1" s="302" t="str">
        <x:v>late_issue_other_flag</x:v>
      </x:c>
      <x:c r="Y1" s="302" t="str">
        <x:v>late_issue_other_text</x:v>
      </x:c>
      <x:c r="Z1" s="302" t="str">
        <x:v>Q11_selection_count</x:v>
      </x:c>
      <x:c r="AA1" s="302" t="str">
        <x:v>late_issue_count</x:v>
      </x:c>
      <x:c r="AB1" s="302" t="str">
        <x:v>any_late_issue</x:v>
      </x:c>
      <x:c r="AC1" s="302" t="str">
        <x:v>Q11_exclusive_conflict</x:v>
      </x:c>
      <x:c r="AD1" s="406" t="str">
        <x:v>Q12_实际使用方式_原始</x:v>
      </x:c>
      <x:c r="AE1" s="406" t="str">
        <x:v>method_search_engine</x:v>
      </x:c>
      <x:c r="AF1" s="406" t="str">
        <x:v>method_ai_assistant</x:v>
      </x:c>
      <x:c r="AG1" s="406" t="str">
        <x:v>method_github</x:v>
      </x:c>
      <x:c r="AH1" s="406" t="str">
        <x:v>method_docs_source</x:v>
      </x:c>
      <x:c r="AI1" s="406" t="str">
        <x:v>method_blog_tutorial_video</x:v>
      </x:c>
      <x:c r="AJ1" s="406" t="str">
        <x:v>method_peer_mentor</x:v>
      </x:c>
      <x:c r="AK1" s="406" t="str">
        <x:v>method_none</x:v>
      </x:c>
      <x:c r="AL1" s="406" t="str">
        <x:v>method_other_flag</x:v>
      </x:c>
      <x:c r="AM1" s="406" t="str">
        <x:v>method_other_text</x:v>
      </x:c>
      <x:c r="AN1" s="406" t="str">
        <x:v>Q12_method_count</x:v>
      </x:c>
      <x:c r="AO1" s="406" t="str">
        <x:v>Q12_selection_count</x:v>
      </x:c>
      <x:c r="AP1" s="406" t="str">
        <x:v>any_method_used</x:v>
      </x:c>
      <x:c r="AQ1" s="406" t="str">
        <x:v>Q12_exclusive_conflict</x:v>
      </x:c>
      <x:c r="AR1" s="493" t="str">
        <x:v>Q13_现有方式不足_原始</x:v>
      </x:c>
      <x:c r="AS1" s="493" t="str">
        <x:v>shortcoming_none</x:v>
      </x:c>
      <x:c r="AT1" s="493" t="str">
        <x:v>shortcoming_information_fragmented</x:v>
      </x:c>
      <x:c r="AU1" s="493" t="str">
        <x:v>shortcoming_no_sources</x:v>
      </x:c>
      <x:c r="AV1" s="493" t="str">
        <x:v>shortcoming_generic_advice</x:v>
      </x:c>
      <x:c r="AW1" s="493" t="str">
        <x:v>shortcoming_no_environment_context</x:v>
      </x:c>
      <x:c r="AX1" s="493" t="str">
        <x:v>shortcoming_no_step_order</x:v>
      </x:c>
      <x:c r="AY1" s="493" t="str">
        <x:v>shortcoming_no_risk_warning</x:v>
      </x:c>
      <x:c r="AZ1" s="493" t="str">
        <x:v>shortcoming_no_context_continuity</x:v>
      </x:c>
      <x:c r="BA1" s="493" t="str">
        <x:v>shortcoming_inconsistent_answers</x:v>
      </x:c>
      <x:c r="BB1" s="493" t="str">
        <x:v>shortcoming_other_flag</x:v>
      </x:c>
      <x:c r="BC1" s="493" t="str">
        <x:v>shortcoming_other_text</x:v>
      </x:c>
      <x:c r="BD1" s="493" t="str">
        <x:v>Q13_shortcoming_count</x:v>
      </x:c>
      <x:c r="BE1" s="493" t="str">
        <x:v>Q13_selection_count</x:v>
      </x:c>
      <x:c r="BF1" s="493" t="str">
        <x:v>any_shortcoming</x:v>
      </x:c>
      <x:c r="BG1" s="493" t="str">
        <x:v>Q13_exclusive_conflict</x:v>
      </x:c>
      <x:c r="BH1" s="560" t="str">
        <x:v>Q14_优先确认信息_原始</x:v>
      </x:c>
      <x:c r="BI1" s="560" t="str">
        <x:v>priority_data_access</x:v>
      </x:c>
      <x:c r="BJ1" s="560" t="str">
        <x:v>priority_pretrained_weight</x:v>
      </x:c>
      <x:c r="BK1" s="560" t="str">
        <x:v>priority_version_requirements</x:v>
      </x:c>
      <x:c r="BL1" s="560" t="str">
        <x:v>priority_resource_requirements</x:v>
      </x:c>
      <x:c r="BM1" s="560" t="str">
        <x:v>priority_command_config_paths</x:v>
      </x:c>
      <x:c r="BN1" s="560" t="str">
        <x:v>priority_evaluation_alignment</x:v>
      </x:c>
      <x:c r="BO1" s="560" t="str">
        <x:v>priority_license_scope</x:v>
      </x:c>
      <x:c r="BP1" s="560" t="str">
        <x:v>priority_failure_risks</x:v>
      </x:c>
      <x:c r="BQ1" s="560" t="str">
        <x:v>priority_first_step</x:v>
      </x:c>
      <x:c r="BR1" s="560" t="str">
        <x:v>priority_other_flag</x:v>
      </x:c>
      <x:c r="BS1" s="560" t="str">
        <x:v>priority_other_text</x:v>
      </x:c>
      <x:c r="BT1" s="560" t="str">
        <x:v>Q14_selection_count</x:v>
      </x:c>
      <x:c r="BU1" s="560" t="str">
        <x:v>Q14_over_selection_limit</x:v>
      </x:c>
      <x:c r="BV1" s="605" t="str">
        <x:v>Q15_读取文件_原始</x:v>
      </x:c>
      <x:c r="BW1" s="605" t="str">
        <x:v>q15_permission_read_files</x:v>
      </x:c>
      <x:c r="BX1" s="605" t="str">
        <x:v>Q15_安装依赖_原始</x:v>
      </x:c>
      <x:c r="BY1" s="605" t="str">
        <x:v>q15_permission_install_dependencies</x:v>
      </x:c>
      <x:c r="BZ1" s="605" t="str">
        <x:v>Q15_修改配置_原始</x:v>
      </x:c>
      <x:c r="CA1" s="605" t="str">
        <x:v>q15_permission_modify_config</x:v>
      </x:c>
      <x:c r="CB1" s="605" t="str">
        <x:v>Q15_覆盖文件_原始</x:v>
      </x:c>
      <x:c r="CC1" s="605" t="str">
        <x:v>q15_permission_overwrite_files</x:v>
      </x:c>
      <x:c r="CD1" s="605" t="str">
        <x:v>Q15_删除文件_原始</x:v>
      </x:c>
      <x:c r="CE1" s="605" t="str">
        <x:v>q15_permission_delete_files</x:v>
      </x:c>
      <x:c r="CF1" s="605" t="str">
        <x:v>Q15_启动任务_原始</x:v>
      </x:c>
      <x:c r="CG1" s="605" t="str">
        <x:v>q15_permission_run_task</x:v>
      </x:c>
      <x:c r="CH1" s="634" t="str">
        <x:v>H4_three_high_risk_no_direct</x:v>
      </x:c>
      <x:c r="CI1" s="675" t="str">
        <x:v>Q16_报告使用分享_原始</x:v>
      </x:c>
      <x:c r="CJ1" s="675" t="str">
        <x:v>report_share_supervisor</x:v>
      </x:c>
      <x:c r="CK1" s="675" t="str">
        <x:v>report_share_peer</x:v>
      </x:c>
      <x:c r="CL1" s="675" t="str">
        <x:v>report_share_team</x:v>
      </x:c>
      <x:c r="CM1" s="675" t="str">
        <x:v>report_self_only</x:v>
      </x:c>
      <x:c r="CN1" s="675" t="str">
        <x:v>report_not_use_share</x:v>
      </x:c>
      <x:c r="CO1" s="675" t="str">
        <x:v>report_share_other_flag</x:v>
      </x:c>
      <x:c r="CP1" s="675" t="str">
        <x:v>report_share_other_text</x:v>
      </x:c>
      <x:c r="CQ1" s="675" t="str">
        <x:v>Q16_selection_count</x:v>
      </x:c>
      <x:c r="CR1" s="675" t="str">
        <x:v>Q16_external_share_count</x:v>
      </x:c>
      <x:c r="CS1" s="675" t="str">
        <x:v>any_explicit_share_target</x:v>
      </x:c>
      <x:c r="CT1" s="675" t="str">
        <x:v>Q16_exclusive_conflict</x:v>
      </x:c>
      <x:c r="CU1"/>
      <x:c r="CV1"/>
      <x:c r="CW1"/>
      <x:c r="CX1"/>
      <x:c r="CY1"/>
      <x:c r="CZ1"/>
      <x:c r="DA1"/>
      <x:c r="DB1"/>
      <x:c r="DC1"/>
      <x:c r="DD1"/>
      <x:c r="DE1"/>
      <x:c r="DF1"/>
      <x:c r="DG1"/>
      <x:c r="DI1"/>
      <x:c r="DJ1"/>
      <x:c r="EA1"/>
      <x:c r="EB1"/>
      <x:c r="EC1"/>
      <x:c r="ED1"/>
      <x:c r="EE1"/>
      <x:c r="EF1"/>
      <x:c r="EG1"/>
      <x:c r="EH1"/>
      <x:c r="EI1"/>
      <x:c r="EJ1"/>
      <x:c r="EK1"/>
      <x:c r="EL1"/>
      <x:c r="EM1"/>
      <x:c r="EN1"/>
      <x:c r="EO1"/>
      <x:c r="EP1"/>
      <x:c r="EQ1"/>
      <x:c r="ER1"/>
      <x:c r="ES1"/>
      <x:c r="ET1"/>
      <x:c r="EU1"/>
      <x:c r="EV1"/>
      <x:c r="EW1"/>
      <x:c r="EX1"/>
      <x:c r="EY1"/>
      <x:c r="EZ1"/>
      <x:c r="FA1"/>
      <x:c r="FB1"/>
      <x:c r="FC1"/>
      <x:c r="FD1" t="str">
        <x:v>原始匹配值</x:v>
      </x:c>
      <x:c r="FE1" t="str">
        <x:v>展示分类</x:v>
      </x:c>
      <x:c r="FF1"/>
      <x:c r="FG1"/>
      <x:c r="FH1"/>
      <x:c r="FI1"/>
      <x:c r="FJ1"/>
      <x:c r="FK1"/>
      <x:c r="FL1"/>
      <x:c r="FM1"/>
      <x:c r="FN1" t="str">
        <x:v>Q14实际唯一值核对</x:v>
      </x:c>
      <x:c r="FO1" t="str">
        <x:v>字典核对</x:v>
      </x:c>
    </x:row>
    <x:row r="2" ht="38" customHeight="1">
      <x:c r="A2" s="36" t="str">
        <x:v>F-001</x:v>
      </x:c>
      <x:c r="B2" s="36" t="str">
        <x:v>有效核心样本</x:v>
      </x:c>
      <x:c r="C2" s="36" t="n">
        <x:v>1</x:v>
      </x:c>
      <x:c r="D2" s="33" t="str">
        <x:v>完整跑通，并达到接近目标的结果</x:v>
      </x:c>
      <x:c r="E2" s="33" t="str">
        <x:v>1—3 天</x:v>
      </x:c>
      <x:c r="F2" s="171" t="n">
        <x:v>5</x:v>
      </x:c>
      <x:c r="G2" s="42" t="str">
        <x:v>运行训练、推理或测试</x:v>
      </x:c>
      <x:c r="H2" s="173" t="str">
        <x:v>运行训练/推理/测试</x:v>
      </x:c>
      <x:c r="I2" s="175" cm="1">
        <x:f t="array" ref="I2:I7"/>
      </x:c>
      <x:c r="J2" s="177"/>
      <x:c r="K2" s="226" t="str">
        <x:v>排查并解决运行错误</x:v>
      </x:c>
      <x:c r="L2" s="255" t="str" cm="1">
        <x:f t="array" ref="L2:L7">IF(LEFT(K2,2)="其他","其他",XLOOKUP(K2,tbl_q10_map[原始匹配值],tbl_q10_map[展示分类],"未映射"))</x:f>
        <x:v>未映射</x:v>
      </x:c>
      <x:c r="M2" s="261" t="str">
        <x:f>IF(L2&lt;&gt;"其他","",IFERROR(TEXTBEFORE(TEXTAFTER(K2,"〖"),"〗"),"未说明"))</x:f>
      </x:c>
      <x:c r="N2" s="303" t="str">
        <x:v>数据无法获得或缺少访问权限┋预训练权重缺失或与代码不兼容┋Python、CUDA 或深度学习框架版本不匹配┋关键依赖包版本冲突，例如 NumPy、mmcv、transformers 等库之间不兼容┋显存、存储空间或预计运行时间不足</x:v>
      </x:c>
      <x:c r="O2" s="330" t="n" cm="1">
        <x:f t="array" ref="O2:O7">--ISNUMBER(SEARCH("未遇到以上问题",N2))</x:f>
        <x:v>0</x:v>
      </x:c>
      <x:c r="P2" s="330" t="n" cm="1">
        <x:f t="array" ref="P2:P8">--ISNUMBER(SEARCH("数据无法获得或缺少访问权限",N2))</x:f>
        <x:v>1</x:v>
      </x:c>
      <x:c r="Q2" s="330" t="n">
        <x:f>--ISNUMBER(SEARCH("预训练权重缺失或与代码不兼容",N2))</x:f>
        <x:v>1</x:v>
      </x:c>
      <x:c r="R2" s="330" t="n">
        <x:f>--ISNUMBER(SEARCH("Python、CUDA 或深度学习框架版本不匹配",N2))</x:f>
        <x:v>1</x:v>
      </x:c>
      <x:c r="S2" s="330" t="n" cm="1">
        <x:f t="array" ref="S2:S8">--ISNUMBER(SEARCH("关键依赖包版本冲突",N2))</x:f>
        <x:v>1</x:v>
      </x:c>
      <x:c r="T2" s="330" t="n">
        <x:f>--ISNUMBER(SEARCH("显存、存储空间或预计运行时间不足",N2))</x:f>
        <x:v>1</x:v>
      </x:c>
      <x:c r="U2" s="330" t="n">
        <x:f>--ISNUMBER(SEARCH("启动命令、配置文件或路径说明缺失",N2))</x:f>
        <x:v>0</x:v>
      </x:c>
      <x:c r="V2" s="330" t="n">
        <x:f>--ISNUMBER(SEARCH("论文与代码的评测口径不清",N2))</x:f>
        <x:v>0</x:v>
      </x:c>
      <x:c r="W2" s="330" t="n">
        <x:f>--ISNUMBER(SEARCH("许可证或使用范围受到限制",N2))</x:f>
        <x:v>0</x:v>
      </x:c>
      <x:c r="X2" s="330" t="n">
        <x:f>--ISNUMBER(SEARCH("其他",N2))</x:f>
        <x:v>0</x:v>
      </x:c>
      <x:c r="Y2" s="351" t="str">
        <x:f>IF(X2&lt;&gt;1,"",IFERROR(TEXTBEFORE(TEXTAFTER(N2,"〖"),"〗"),"未说明"))</x:f>
      </x:c>
      <x:c r="Z2" s="333" t="n">
        <x:f>SUM(O2:X2)</x:f>
        <x:v>5</x:v>
      </x:c>
      <x:c r="AA2" s="333" t="n" cm="1">
        <x:f t="array" ref="AA2:AA7">SUM(P2:X2)</x:f>
        <x:v>5</x:v>
      </x:c>
      <x:c r="AB2" s="333" t="n">
        <x:f>--(AA2&gt;0)</x:f>
        <x:v>1</x:v>
      </x:c>
      <x:c r="AC2" s="342" t="n">
        <x:f>--AND(O2=1,AA2&gt;0)</x:f>
        <x:v>0</x:v>
      </x:c>
      <x:c r="AD2" s="396" t="str">
        <x:v>搜索引擎┋通用大模型或 AI 助手┋GitHub Issue/Discussion┋阅读 README、文档或源码</x:v>
      </x:c>
      <x:c r="AE2" s="415" t="n">
        <x:f>--ISNUMBER(SEARCH("搜索引擎",AD2))</x:f>
        <x:v>1</x:v>
      </x:c>
      <x:c r="AF2" s="415" t="n">
        <x:f>--ISNUMBER(SEARCH("通用大模型或 AI 助手",AD2))</x:f>
        <x:v>1</x:v>
      </x:c>
      <x:c r="AG2" s="415" t="n">
        <x:f>--ISNUMBER(SEARCH("GitHub Issue/Discussion",AD2))</x:f>
        <x:v>1</x:v>
      </x:c>
      <x:c r="AH2" s="415" t="n">
        <x:f>--ISNUMBER(SEARCH("阅读 README、文档或源码",AD2))</x:f>
        <x:v>1</x:v>
      </x:c>
      <x:c r="AI2" s="415" t="n">
        <x:f>--ISNUMBER(SEARCH("复现博客、教程或视频",AD2))</x:f>
        <x:v>0</x:v>
      </x:c>
      <x:c r="AJ2" s="415" t="n">
        <x:f>--ISNUMBER(SEARCH("询问同学、同事或导师",AD2))</x:f>
        <x:v>0</x:v>
      </x:c>
      <x:c r="AK2" s="415" t="n">
        <x:f>--ISNUMBER(SEARCH("没有使用以上方式",AD2))</x:f>
        <x:v>0</x:v>
      </x:c>
      <x:c r="AL2" s="415" t="n" cm="1">
        <x:f t="array" ref="AL2:AL7">--ISNUMBER(SEARCH("其他",AD2))</x:f>
        <x:v>0</x:v>
      </x:c>
      <x:c r="AM2" s="440" t="str">
        <x:f>IF(AL2&lt;&gt;1,"",IFERROR(TEXTBEFORE(TEXTAFTER(AD2,"〖"),"〗"),"未说明"))</x:f>
      </x:c>
      <x:c r="AN2" s="426" t="n">
        <x:f>SUM(AE2:AJ2)+AL2</x:f>
        <x:v>4</x:v>
      </x:c>
      <x:c r="AO2" s="426" t="n">
        <x:f>AN2+AK2</x:f>
        <x:v>4</x:v>
      </x:c>
      <x:c r="AP2" s="426" t="n" cm="1">
        <x:f t="array" ref="AP2:AP8">--(AN2&gt;0)</x:f>
        <x:v>1</x:v>
      </x:c>
      <x:c r="AQ2" s="426" t="n">
        <x:f>--AND(AK2=1,AN2&gt;0)</x:f>
        <x:v>0</x:v>
      </x:c>
      <x:c r="AR2" s="496" t="str">
        <x:v>信息分散，需要反复查找和拼接┋结论缺少来源或证据，难以判断是否可信┋不了解我的硬件、系统或软件环境┋难以保存和延续此前的排错上下文</x:v>
      </x:c>
      <x:c r="AS2" s="415" t="n">
        <x:f>--ISNUMBER(SEARCH("没有明显不足",AR2))</x:f>
        <x:v>0</x:v>
      </x:c>
      <x:c r="AT2" s="415" t="n">
        <x:f>--ISNUMBER(SEARCH("信息分散，需要反复查找和拼接",AR2))</x:f>
        <x:v>1</x:v>
      </x:c>
      <x:c r="AU2" s="415" t="n">
        <x:f>--ISNUMBER(SEARCH("结论缺少来源或证据，难以判断是否可信",AR2))</x:f>
        <x:v>1</x:v>
      </x:c>
      <x:c r="AV2" s="415" t="n">
        <x:f>--ISNUMBER(SEARCH("建议过于泛化，无法直接用于当前项目",AR2))</x:f>
        <x:v>0</x:v>
      </x:c>
      <x:c r="AW2" s="415" t="n">
        <x:f>--ISNUMBER(SEARCH("不了解我的硬件、系统或软件环境",AR2))</x:f>
        <x:v>1</x:v>
      </x:c>
      <x:c r="AX2" s="415" t="n" cm="1">
        <x:f t="array" ref="AX2:AX7">--ISNUMBER(SEARCH("没有说明操作步骤的先后顺序",AR2))</x:f>
        <x:v>0</x:v>
      </x:c>
      <x:c r="AY2" s="415" t="n">
        <x:f>--ISNUMBER(SEARCH("对覆盖文件、删除文件等高风险操作缺少提醒",AR2))</x:f>
        <x:v>0</x:v>
      </x:c>
      <x:c r="AZ2" s="415" t="n">
        <x:f>--ISNUMBER(SEARCH("难以保存和延续此前的排错上下文",AR2))</x:f>
        <x:v>1</x:v>
      </x:c>
      <x:c r="BA2" s="415" t="n">
        <x:f>--ISNUMBER(SEARCH("相同问题得到的回答不稳定",AR2))</x:f>
        <x:v>0</x:v>
      </x:c>
      <x:c r="BB2" s="415" t="n">
        <x:f>--ISNUMBER(SEARCH("其他",AR2))</x:f>
        <x:v>0</x:v>
      </x:c>
      <x:c r="BC2" s="501" t="str">
        <x:f>IF(BB2=1,IFERROR(TEXTBEFORE(TEXTAFTER(AR2,"〖"),"〗"),"未说明"),"")</x:f>
      </x:c>
      <x:c r="BD2" s="426" t="n">
        <x:f>SUM(AT2:BB2)</x:f>
        <x:v>4</x:v>
      </x:c>
      <x:c r="BE2" s="426" t="n">
        <x:f>BD2+AS2</x:f>
        <x:v>4</x:v>
      </x:c>
      <x:c r="BF2" s="426" t="n">
        <x:f>--(BD2&gt;0)</x:f>
        <x:v>1</x:v>
      </x:c>
      <x:c r="BG2" s="426" t="n">
        <x:f>--AND(AS2=1,BD2&gt;0)</x:f>
        <x:v>0</x:v>
      </x:c>
      <x:c r="BH2" s="564" t="str">
        <x:v>数据集是否能够获得，以及是否需要申请权限┋所需显存、存储空间和预计运行时间┋当前情况下最适合执行的第一步</x:v>
      </x:c>
      <x:c r="BI2" s="575" t="n">
        <x:f>--ISNUMBER(SEARCH("数据集是否能够获得，以及是否需要申请权限",BH2))</x:f>
        <x:v>1</x:v>
      </x:c>
      <x:c r="BJ2" s="575" t="n">
        <x:f>--ISNUMBER(SEARCH("是否提供可用的预训练权重",BH2))</x:f>
        <x:v>0</x:v>
      </x:c>
      <x:c r="BK2" s="575" t="n">
        <x:f>--ISNUMBER(SEARCH("Python、CUDA 和深度学习框架的版本要求",BH2))</x:f>
        <x:v>0</x:v>
      </x:c>
      <x:c r="BL2" s="575" t="n">
        <x:f>--ISNUMBER(SEARCH("所需显存、存储空间和预计运行时间",BH2))</x:f>
        <x:v>1</x:v>
      </x:c>
      <x:c r="BM2" s="575" t="n">
        <x:f>--ISNUMBER(SEARCH("启动命令、配置文件和关键路径是否完整",BH2))</x:f>
        <x:v>0</x:v>
      </x:c>
      <x:c r="BN2" s="575" t="n" cm="1">
        <x:f t="array" ref="BN2:BN7">--ISNUMBER(SEARCH("论文与代码的评测指标和实验口径是否一致",BH2))</x:f>
        <x:v>0</x:v>
      </x:c>
      <x:c r="BO2" s="575" t="n">
        <x:f>--ISNUMBER(SEARCH("项目许可证和允许使用的范围",BH2))</x:f>
        <x:v>0</x:v>
      </x:c>
      <x:c r="BP2" s="575" t="n">
        <x:f>--ISNUMBER(SEARCH("可能导致复现失败的关键风险",BH2))</x:f>
        <x:v>0</x:v>
      </x:c>
      <x:c r="BQ2" s="575" t="n" cm="1">
        <x:f t="array" ref="BQ2:BQ8">--ISNUMBER(SEARCH("当前情况下最适合执行的第一步",BH2))</x:f>
        <x:v>1</x:v>
      </x:c>
      <x:c r="BR2" s="575" t="n">
        <x:f>--ISNUMBER(SEARCH("其他",BH2))</x:f>
        <x:v>0</x:v>
      </x:c>
      <x:c r="BS2" s="575" t="str">
        <x:f>IF(BR2=1,IFERROR(TEXTBEFORE(TEXTAFTER(BH2,"〖"),"〗"),"未说明"),"")</x:f>
      </x:c>
      <x:c r="BT2" s="575" t="n">
        <x:f>SUM(BI2:BR2)</x:f>
        <x:v>3</x:v>
      </x:c>
      <x:c r="BU2" s="575" t="n">
        <x:f>--(BT2&gt;3)</x:f>
        <x:v>0</x:v>
      </x:c>
      <x:c r="BV2" s="609" t="str">
        <x:v>可直接执行</x:v>
      </x:c>
      <x:c r="BW2" s="614" t="n">
        <x:f>SWITCH(BV2,"可直接执行",1,"展示具体内容并经我确认后执行",2,"每一步都必须单独审批",3,"完全不允许",4,"未映射")</x:f>
        <x:v>1</x:v>
      </x:c>
      <x:c r="BX2" s="609" t="str">
        <x:v>展示具体内容并经我确认后执行</x:v>
      </x:c>
      <x:c r="BY2" s="614" t="n">
        <x:f>SWITCH(BX2,"可直接执行",1,"展示具体内容并经我确认后执行",2,"每一步都必须单独审批",3,"完全不允许",4,"未映射")</x:f>
        <x:v>2</x:v>
      </x:c>
      <x:c r="BZ2" s="609" t="str">
        <x:v>每一步都必须单独审批</x:v>
      </x:c>
      <x:c r="CA2" s="614" t="n">
        <x:f>SWITCH(BZ2,"可直接执行",1,"展示具体内容并经我确认后执行",2,"每一步都必须单独审批",3,"完全不允许",4,"未映射")</x:f>
        <x:v>3</x:v>
      </x:c>
      <x:c r="CB2" s="609" t="str">
        <x:v>每一步都必须单独审批</x:v>
      </x:c>
      <x:c r="CC2" s="614" t="n" cm="1">
        <x:f t="array" ref="CC2:CC7">SWITCH(CB2,"可直接执行",1,"展示具体内容并经我确认后执行",2,"每一步都必须单独审批",3,"完全不允许",4,"未映射")</x:f>
        <x:v>3</x:v>
      </x:c>
      <x:c r="CD2" s="609" t="str">
        <x:v>每一步都必须单独审批</x:v>
      </x:c>
      <x:c r="CE2" s="614" t="n">
        <x:f>SWITCH(CD2,"可直接执行",1,"展示具体内容并经我确认后执行",2,"每一步都必须单独审批",3,"完全不允许",4,"未映射")</x:f>
        <x:v>3</x:v>
      </x:c>
      <x:c r="CF2" s="609" t="str" cm="1">
        <x:f t="array" ref="CF2:CF8"/>
        <x:v>可直接执行</x:v>
      </x:c>
      <x:c r="CG2" s="614" t="n">
        <x:f>SWITCH(CF2,"可直接执行",1,"展示具体内容并经我确认后执行",2,"每一步都必须单独审批",3,"完全不允许",4,"未映射")</x:f>
        <x:v>1</x:v>
      </x:c>
      <x:c r="CH2" s="639" t="n">
        <x:f>--AND(BY2&gt;=2,CC2&gt;=2,CE2&gt;=2)</x:f>
        <x:v>1</x:v>
      </x:c>
      <x:c r="CI2" s="679" t="str">
        <x:v>分享给导师或负责人，用于确认是否值得继续投入┋分享给项目成员，用于同步环境、资源或复现风险</x:v>
      </x:c>
      <x:c r="CJ2" s="684" t="n">
        <x:f>--ISNUMBER(SEARCH("分享给导师或负责人",CI2))</x:f>
        <x:v>1</x:v>
      </x:c>
      <x:c r="CK2" s="684" t="n">
        <x:f>--ISNUMBER(SEARCH("分享给同学或同事",CI2))</x:f>
        <x:v>0</x:v>
      </x:c>
      <x:c r="CL2" s="684" t="n">
        <x:f>--ISNUMBER(SEARCH("分享给项目成员",CI2))</x:f>
        <x:v>1</x:v>
      </x:c>
      <x:c r="CM2" s="684" t="n">
        <x:f>--ISNUMBER(SEARCH("仅自己查看和留存",CI2))</x:f>
        <x:v>0</x:v>
      </x:c>
      <x:c r="CN2" s="684" t="n">
        <x:f>--ISNUMBER(SEARCH("不会使用或分享这类报告",CI2))</x:f>
        <x:v>0</x:v>
      </x:c>
      <x:c r="CO2" s="684" t="n">
        <x:f>--ISNUMBER(SEARCH("其他",CI2))</x:f>
        <x:v>0</x:v>
      </x:c>
      <x:c r="CP2" s="688" t="str">
        <x:f>IF(CO2=1,IFERROR(TEXTBEFORE(TEXTAFTER(CI2,"〖"),"〗"),"未说明"),"")</x:f>
      </x:c>
      <x:c r="CQ2" s="692" t="n">
        <x:f>SUM(CJ2:CO2)</x:f>
        <x:v>2</x:v>
      </x:c>
      <x:c r="CR2" s="692" t="n">
        <x:f>SUM(CJ2:CL2)</x:f>
        <x:v>2</x:v>
      </x:c>
      <x:c r="CS2" s="692" t="n">
        <x:f>--(CR2&gt;0)</x:f>
        <x:v>1</x:v>
      </x:c>
      <x:c r="CT2" s="692" t="n">
        <x:f>--AND(CN2=1,CQ2&gt;1)</x:f>
        <x:v>0</x:v>
      </x:c>
      <x:c r="CU2"/>
      <x:c r="CV2"/>
      <x:c r="CW2"/>
      <x:c r="CX2"/>
      <x:c r="CY2"/>
      <x:c r="CZ2"/>
      <x:c r="DA2"/>
      <x:c r="DB2"/>
      <x:c r="DC2"/>
      <x:c r="DD2"/>
      <x:c r="DE2"/>
      <x:c r="DF2"/>
      <x:c r="DG2"/>
      <x:c r="DI2"/>
      <x:c r="DJ2"/>
      <x:c r="EA2"/>
      <x:c r="EB2"/>
      <x:c r="EC2"/>
      <x:c r="ED2"/>
      <x:c r="EE2"/>
      <x:c r="EF2"/>
      <x:c r="EG2"/>
      <x:c r="EH2"/>
      <x:c r="EI2"/>
      <x:c r="EJ2"/>
      <x:c r="EK2"/>
      <x:c r="EL2"/>
      <x:c r="EM2"/>
      <x:c r="EN2"/>
      <x:c r="EO2"/>
      <x:c r="EP2"/>
      <x:c r="EQ2"/>
      <x:c r="ER2"/>
      <x:c r="ES2"/>
      <x:c r="ET2"/>
      <x:c r="EU2"/>
      <x:c r="EV2"/>
      <x:c r="EW2"/>
      <x:c r="EX2"/>
      <x:c r="EY2" t="n">
        <x:v>0</x:v>
      </x:c>
      <x:c r="EZ2"/>
      <x:c r="FA2"/>
      <x:c r="FB2" t="n">
        <x:v>0</x:v>
      </x:c>
      <x:c r="FC2"/>
      <x:c r="FD2" t="str">
        <x:v>前期了解项目并判断是否值得复现</x:v>
      </x:c>
      <x:c r="FE2" t="str">
        <x:v>前期了解并判断</x:v>
      </x:c>
      <x:c r="FF2"/>
      <x:c r="FG2"/>
      <x:c r="FH2" t="n">
        <x:f>COUNTIF(tbl_core_metrics[DL10_展示分类],"未映射")</x:f>
        <x:v>0</x:v>
      </x:c>
      <x:c r="FI2"/>
      <x:c r="FJ2"/>
      <x:c r="FK2" t="str">
        <x:v>否</x:v>
      </x:c>
      <x:c r="FL2"/>
      <x:c r="FM2"/>
      <x:c r="FN2" t="str">
        <x:v>是否提供可用的预训练权重</x:v>
      </x:c>
      <x:c r="FO2" t="str">
        <x:v>与冻结问卷及V0.2.1一致</x:v>
      </x:c>
    </x:row>
    <x:row r="3" ht="38" customHeight="1">
      <x:c r="A3" s="37" t="str">
        <x:v>F-002</x:v>
      </x:c>
      <x:c r="B3" s="37" t="str">
        <x:v>有效核心样本</x:v>
      </x:c>
      <x:c r="C3" s="37" t="n">
        <x:v>1</x:v>
      </x:c>
      <x:c r="D3" s="34" t="str">
        <x:v>已跑通，但结果与论文或项目说明明显不一致</x:v>
      </x:c>
      <x:c r="E3" s="34" t="str">
        <x:v>1—3 天</x:v>
      </x:c>
      <x:c r="F3" s="172" t="n">
        <x:v>5</x:v>
      </x:c>
      <x:c r="G3" s="43" t="str">
        <x:v>前期了解项目并判断是否值得复现</x:v>
      </x:c>
      <x:c r="H3" s="174" t="str">
        <x:v>前期了解并判断</x:v>
      </x:c>
      <x:c r="I3" s="176"/>
      <x:c r="J3" s="178"/>
      <x:c r="K3" s="227" t="str">
        <x:v>安装依赖并配置软件环境</x:v>
      </x:c>
      <x:c r="L3" s="256" t="str">
        <x:f>IF(LEFT(K3,2)="其他","其他",XLOOKUP(K3,tbl_q10_map[原始匹配值],tbl_q10_map[展示分类],"未映射"))</x:f>
        <x:v>未映射</x:v>
      </x:c>
      <x:c r="M3" s="262" t="str">
        <x:f>IF(L3&lt;&gt;"其他","",IFERROR(TEXTBEFORE(TEXTAFTER(K3,"〖"),"〗"),"未说明"))</x:f>
      </x:c>
      <x:c r="N3" s="304" t="str">
        <x:v>Python、CUDA 或深度学习框架版本不匹配┋关键依赖包版本冲突，例如 NumPy、mmcv、transformers 等库之间不兼容</x:v>
      </x:c>
      <x:c r="O3" s="331" t="n">
        <x:f>--ISNUMBER(SEARCH("未遇到以上问题",N3))</x:f>
        <x:v>0</x:v>
      </x:c>
      <x:c r="P3" s="331" t="n">
        <x:f>--ISNUMBER(SEARCH("数据无法获得或缺少访问权限",N3))</x:f>
        <x:v>0</x:v>
      </x:c>
      <x:c r="Q3" s="331" t="n">
        <x:f>--ISNUMBER(SEARCH("预训练权重缺失或与代码不兼容",N3))</x:f>
        <x:v>0</x:v>
      </x:c>
      <x:c r="R3" s="331" t="n">
        <x:f>--ISNUMBER(SEARCH("Python、CUDA 或深度学习框架版本不匹配",N3))</x:f>
        <x:v>1</x:v>
      </x:c>
      <x:c r="S3" s="331" t="n">
        <x:f>--ISNUMBER(SEARCH("关键依赖包版本冲突",N3))</x:f>
        <x:v>1</x:v>
      </x:c>
      <x:c r="T3" s="331" t="n">
        <x:f>--ISNUMBER(SEARCH("显存、存储空间或预计运行时间不足",N3))</x:f>
        <x:v>0</x:v>
      </x:c>
      <x:c r="U3" s="331" t="n">
        <x:f>--ISNUMBER(SEARCH("启动命令、配置文件或路径说明缺失",N3))</x:f>
        <x:v>0</x:v>
      </x:c>
      <x:c r="V3" s="331" t="n">
        <x:f>--ISNUMBER(SEARCH("论文与代码的评测口径不清",N3))</x:f>
        <x:v>0</x:v>
      </x:c>
      <x:c r="W3" s="331" t="n">
        <x:f>--ISNUMBER(SEARCH("许可证或使用范围受到限制",N3))</x:f>
        <x:v>0</x:v>
      </x:c>
      <x:c r="X3" s="331" t="n">
        <x:f>--ISNUMBER(SEARCH("其他",N3))</x:f>
        <x:v>0</x:v>
      </x:c>
      <x:c r="Y3" s="352" t="str">
        <x:f>IF(X3&lt;&gt;1,"",IFERROR(TEXTBEFORE(TEXTAFTER(N3,"〖"),"〗"),"未说明"))</x:f>
      </x:c>
      <x:c r="Z3" s="334" t="n">
        <x:f>SUM(O3:X3)</x:f>
        <x:v>2</x:v>
      </x:c>
      <x:c r="AA3" s="334" t="n">
        <x:f>SUM(P3:X3)</x:f>
        <x:v>2</x:v>
      </x:c>
      <x:c r="AB3" s="334" t="n">
        <x:f>--(AA3&gt;0)</x:f>
        <x:v>1</x:v>
      </x:c>
      <x:c r="AC3" s="343" t="n">
        <x:f>--AND(O3=1,AA3&gt;0)</x:f>
        <x:v>0</x:v>
      </x:c>
      <x:c r="AD3" s="396" t="str">
        <x:v>通用大模型或 AI 助手┋询问同学、同事或导师</x:v>
      </x:c>
      <x:c r="AE3" s="415" t="n">
        <x:f>--ISNUMBER(SEARCH("搜索引擎",AD3))</x:f>
        <x:v>0</x:v>
      </x:c>
      <x:c r="AF3" s="415" t="n">
        <x:f>--ISNUMBER(SEARCH("通用大模型或 AI 助手",AD3))</x:f>
        <x:v>1</x:v>
      </x:c>
      <x:c r="AG3" s="415" t="n">
        <x:f>--ISNUMBER(SEARCH("GitHub Issue/Discussion",AD3))</x:f>
        <x:v>0</x:v>
      </x:c>
      <x:c r="AH3" s="415" t="n">
        <x:f>--ISNUMBER(SEARCH("阅读 README、文档或源码",AD3))</x:f>
        <x:v>0</x:v>
      </x:c>
      <x:c r="AI3" s="415" t="n">
        <x:f>--ISNUMBER(SEARCH("复现博客、教程或视频",AD3))</x:f>
        <x:v>0</x:v>
      </x:c>
      <x:c r="AJ3" s="415" t="n">
        <x:f>--ISNUMBER(SEARCH("询问同学、同事或导师",AD3))</x:f>
        <x:v>1</x:v>
      </x:c>
      <x:c r="AK3" s="415" t="n">
        <x:f>--ISNUMBER(SEARCH("没有使用以上方式",AD3))</x:f>
        <x:v>0</x:v>
      </x:c>
      <x:c r="AL3" s="415" t="n">
        <x:f>--ISNUMBER(SEARCH("其他",AD3))</x:f>
        <x:v>0</x:v>
      </x:c>
      <x:c r="AM3" s="440" t="str">
        <x:f>IF(AL3&lt;&gt;1,"",IFERROR(TEXTBEFORE(TEXTAFTER(AD3,"〖"),"〗"),"未说明"))</x:f>
      </x:c>
      <x:c r="AN3" s="426" t="n">
        <x:f>SUM(AE3:AJ3)+AL3</x:f>
        <x:v>2</x:v>
      </x:c>
      <x:c r="AO3" s="426" t="n">
        <x:f>AN3+AK3</x:f>
        <x:v>2</x:v>
      </x:c>
      <x:c r="AP3" s="426" t="n">
        <x:f>--(AN3&gt;0)</x:f>
        <x:v>1</x:v>
      </x:c>
      <x:c r="AQ3" s="426" t="n">
        <x:f>--AND(AK3=1,AN3&gt;0)</x:f>
        <x:v>0</x:v>
      </x:c>
      <x:c r="AR3" s="496" t="str">
        <x:v>建议过于泛化，无法直接用于当前项目┋难以保存和延续此前的排错上下文</x:v>
      </x:c>
      <x:c r="AS3" s="415" t="n">
        <x:f>--ISNUMBER(SEARCH("没有明显不足",AR3))</x:f>
        <x:v>0</x:v>
      </x:c>
      <x:c r="AT3" s="415" t="n">
        <x:f>--ISNUMBER(SEARCH("信息分散，需要反复查找和拼接",AR3))</x:f>
        <x:v>0</x:v>
      </x:c>
      <x:c r="AU3" s="415" t="n">
        <x:f>--ISNUMBER(SEARCH("结论缺少来源或证据，难以判断是否可信",AR3))</x:f>
        <x:v>0</x:v>
      </x:c>
      <x:c r="AV3" s="415" t="n">
        <x:f>--ISNUMBER(SEARCH("建议过于泛化，无法直接用于当前项目",AR3))</x:f>
        <x:v>1</x:v>
      </x:c>
      <x:c r="AW3" s="415" t="n">
        <x:f>--ISNUMBER(SEARCH("不了解我的硬件、系统或软件环境",AR3))</x:f>
        <x:v>0</x:v>
      </x:c>
      <x:c r="AX3" s="415" t="n">
        <x:f>--ISNUMBER(SEARCH("没有说明操作步骤的先后顺序",AR3))</x:f>
        <x:v>0</x:v>
      </x:c>
      <x:c r="AY3" s="415" t="n">
        <x:f>--ISNUMBER(SEARCH("对覆盖文件、删除文件等高风险操作缺少提醒",AR3))</x:f>
        <x:v>0</x:v>
      </x:c>
      <x:c r="AZ3" s="415" t="n">
        <x:f>--ISNUMBER(SEARCH("难以保存和延续此前的排错上下文",AR3))</x:f>
        <x:v>1</x:v>
      </x:c>
      <x:c r="BA3" s="415" t="n">
        <x:f>--ISNUMBER(SEARCH("相同问题得到的回答不稳定",AR3))</x:f>
        <x:v>0</x:v>
      </x:c>
      <x:c r="BB3" s="415" t="n">
        <x:f>--ISNUMBER(SEARCH("其他",AR3))</x:f>
        <x:v>0</x:v>
      </x:c>
      <x:c r="BC3" s="501" t="str">
        <x:f>IF(BB3=1,IFERROR(TEXTBEFORE(TEXTAFTER(AR3,"〖"),"〗"),"未说明"),"")</x:f>
      </x:c>
      <x:c r="BD3" s="426" t="n">
        <x:f>SUM(AT3:BB3)</x:f>
        <x:v>2</x:v>
      </x:c>
      <x:c r="BE3" s="426" t="n">
        <x:f>BD3+AS3</x:f>
        <x:v>2</x:v>
      </x:c>
      <x:c r="BF3" s="426" t="n">
        <x:f>--(BD3&gt;0)</x:f>
        <x:v>1</x:v>
      </x:c>
      <x:c r="BG3" s="426" t="n">
        <x:f>--AND(AS3=1,BD3&gt;0)</x:f>
        <x:v>0</x:v>
      </x:c>
      <x:c r="BH3" s="564" t="str">
        <x:v>Python、CUDA 和深度学习框架的版本要求┋论文与代码的评测指标和实验口径是否一致┋可能导致复现失败的关键风险</x:v>
      </x:c>
      <x:c r="BI3" s="575" t="n">
        <x:f>--ISNUMBER(SEARCH("数据集是否能够获得，以及是否需要申请权限",BH3))</x:f>
        <x:v>0</x:v>
      </x:c>
      <x:c r="BJ3" s="575" t="n">
        <x:f>--ISNUMBER(SEARCH("是否提供可用的预训练权重",BH3))</x:f>
        <x:v>0</x:v>
      </x:c>
      <x:c r="BK3" s="575" t="n">
        <x:f>--ISNUMBER(SEARCH("Python、CUDA 和深度学习框架的版本要求",BH3))</x:f>
        <x:v>1</x:v>
      </x:c>
      <x:c r="BL3" s="575" t="n">
        <x:f>--ISNUMBER(SEARCH("所需显存、存储空间和预计运行时间",BH3))</x:f>
        <x:v>0</x:v>
      </x:c>
      <x:c r="BM3" s="575" t="n">
        <x:f>--ISNUMBER(SEARCH("启动命令、配置文件和关键路径是否完整",BH3))</x:f>
        <x:v>0</x:v>
      </x:c>
      <x:c r="BN3" s="575" t="n">
        <x:f>--ISNUMBER(SEARCH("论文与代码的评测指标和实验口径是否一致",BH3))</x:f>
        <x:v>1</x:v>
      </x:c>
      <x:c r="BO3" s="575" t="n">
        <x:f>--ISNUMBER(SEARCH("项目许可证和允许使用的范围",BH3))</x:f>
        <x:v>0</x:v>
      </x:c>
      <x:c r="BP3" s="575" t="n">
        <x:f>--ISNUMBER(SEARCH("可能导致复现失败的关键风险",BH3))</x:f>
        <x:v>1</x:v>
      </x:c>
      <x:c r="BQ3" s="575" t="n">
        <x:f>--ISNUMBER(SEARCH("当前情况下最适合执行的第一步",BH3))</x:f>
        <x:v>0</x:v>
      </x:c>
      <x:c r="BR3" s="575" t="n">
        <x:f>--ISNUMBER(SEARCH("其他",BH3))</x:f>
        <x:v>0</x:v>
      </x:c>
      <x:c r="BS3" s="575" t="str">
        <x:f>IF(BR3=1,IFERROR(TEXTBEFORE(TEXTAFTER(BH3,"〖"),"〗"),"未说明"),"")</x:f>
      </x:c>
      <x:c r="BT3" s="575" t="n">
        <x:f>SUM(BI3:BR3)</x:f>
        <x:v>3</x:v>
      </x:c>
      <x:c r="BU3" s="575" t="n">
        <x:f>--(BT3&gt;3)</x:f>
        <x:v>0</x:v>
      </x:c>
      <x:c r="BV3" s="609" t="str">
        <x:v>展示具体内容并经我确认后执行</x:v>
      </x:c>
      <x:c r="BW3" s="614" t="n">
        <x:f>SWITCH(BV3,"可直接执行",1,"展示具体内容并经我确认后执行",2,"每一步都必须单独审批",3,"完全不允许",4,"未映射")</x:f>
        <x:v>2</x:v>
      </x:c>
      <x:c r="BX3" s="609" t="str">
        <x:v>展示具体内容并经我确认后执行</x:v>
      </x:c>
      <x:c r="BY3" s="614" t="n">
        <x:f>SWITCH(BX3,"可直接执行",1,"展示具体内容并经我确认后执行",2,"每一步都必须单独审批",3,"完全不允许",4,"未映射")</x:f>
        <x:v>2</x:v>
      </x:c>
      <x:c r="BZ3" s="609" t="str">
        <x:v>展示具体内容并经我确认后执行</x:v>
      </x:c>
      <x:c r="CA3" s="614" t="n">
        <x:f>SWITCH(BZ3,"可直接执行",1,"展示具体内容并经我确认后执行",2,"每一步都必须单独审批",3,"完全不允许",4,"未映射")</x:f>
        <x:v>2</x:v>
      </x:c>
      <x:c r="CB3" s="609" t="str">
        <x:v>展示具体内容并经我确认后执行</x:v>
      </x:c>
      <x:c r="CC3" s="614" t="n">
        <x:f>SWITCH(CB3,"可直接执行",1,"展示具体内容并经我确认后执行",2,"每一步都必须单独审批",3,"完全不允许",4,"未映射")</x:f>
        <x:v>2</x:v>
      </x:c>
      <x:c r="CD3" s="609" t="str">
        <x:v>展示具体内容并经我确认后执行</x:v>
      </x:c>
      <x:c r="CE3" s="614" t="n">
        <x:f>SWITCH(CD3,"可直接执行",1,"展示具体内容并经我确认后执行",2,"每一步都必须单独审批",3,"完全不允许",4,"未映射")</x:f>
        <x:v>2</x:v>
      </x:c>
      <x:c r="CF3" s="609" t="str">
        <x:v>展示具体内容并经我确认后执行</x:v>
      </x:c>
      <x:c r="CG3" s="614" t="n">
        <x:f>SWITCH(CF3,"可直接执行",1,"展示具体内容并经我确认后执行",2,"每一步都必须单独审批",3,"完全不允许",4,"未映射")</x:f>
        <x:v>2</x:v>
      </x:c>
      <x:c r="CH3" s="639" t="n">
        <x:f>--AND(BY3&gt;=2,CC3&gt;=2,CE3&gt;=2)</x:f>
        <x:v>1</x:v>
      </x:c>
      <x:c r="CI3" s="679" t="str">
        <x:v>分享给导师或负责人，用于确认是否值得继续投入┋分享给项目成员，用于同步环境、资源或复现风险</x:v>
      </x:c>
      <x:c r="CJ3" s="684" t="n">
        <x:f>--ISNUMBER(SEARCH("分享给导师或负责人",CI3))</x:f>
        <x:v>1</x:v>
      </x:c>
      <x:c r="CK3" s="684" t="n">
        <x:f>--ISNUMBER(SEARCH("分享给同学或同事",CI3))</x:f>
        <x:v>0</x:v>
      </x:c>
      <x:c r="CL3" s="684" t="n">
        <x:f>--ISNUMBER(SEARCH("分享给项目成员",CI3))</x:f>
        <x:v>1</x:v>
      </x:c>
      <x:c r="CM3" s="684" t="n">
        <x:f>--ISNUMBER(SEARCH("仅自己查看和留存",CI3))</x:f>
        <x:v>0</x:v>
      </x:c>
      <x:c r="CN3" s="684" t="n">
        <x:f>--ISNUMBER(SEARCH("不会使用或分享这类报告",CI3))</x:f>
        <x:v>0</x:v>
      </x:c>
      <x:c r="CO3" s="684" t="n">
        <x:f>--ISNUMBER(SEARCH("其他",CI3))</x:f>
        <x:v>0</x:v>
      </x:c>
      <x:c r="CP3" s="688" t="str">
        <x:f>IF(CO3=1,IFERROR(TEXTBEFORE(TEXTAFTER(CI3,"〖"),"〗"),"未说明"),"")</x:f>
      </x:c>
      <x:c r="CQ3" s="692" t="n">
        <x:f>SUM(CJ3:CO3)</x:f>
        <x:v>2</x:v>
      </x:c>
      <x:c r="CR3" s="692" t="n">
        <x:f>SUM(CJ3:CL3)</x:f>
        <x:v>2</x:v>
      </x:c>
      <x:c r="CS3" s="692" t="n">
        <x:f>--(CR3&gt;0)</x:f>
        <x:v>1</x:v>
      </x:c>
      <x:c r="CT3" s="692" t="n">
        <x:f>--AND(CN3=1,CQ3&gt;1)</x:f>
        <x:v>0</x:v>
      </x:c>
      <x:c r="CU3"/>
      <x:c r="CV3"/>
      <x:c r="CW3"/>
      <x:c r="CX3"/>
      <x:c r="CY3"/>
      <x:c r="CZ3"/>
      <x:c r="DA3"/>
      <x:c r="DB3"/>
      <x:c r="DC3"/>
      <x:c r="DD3"/>
      <x:c r="DE3"/>
      <x:c r="DF3"/>
      <x:c r="DG3"/>
      <x:c r="DI3"/>
      <x:c r="DJ3"/>
      <x:c r="EA3"/>
      <x:c r="EB3"/>
      <x:c r="EC3"/>
      <x:c r="ED3"/>
      <x:c r="EE3"/>
      <x:c r="EF3"/>
      <x:c r="EG3"/>
      <x:c r="EH3"/>
      <x:c r="EI3"/>
      <x:c r="EJ3"/>
      <x:c r="EK3"/>
      <x:c r="EL3"/>
      <x:c r="EM3"/>
      <x:c r="EN3"/>
      <x:c r="EO3"/>
      <x:c r="EP3"/>
      <x:c r="EQ3"/>
      <x:c r="ER3"/>
      <x:c r="ES3"/>
      <x:c r="ET3"/>
      <x:c r="EU3"/>
      <x:c r="EV3"/>
      <x:c r="EW3"/>
      <x:c r="EX3"/>
      <x:c r="EY3" t="n">
        <x:v>0</x:v>
      </x:c>
      <x:c r="EZ3"/>
      <x:c r="FA3"/>
      <x:c r="FB3" t="n">
        <x:v>0</x:v>
      </x:c>
      <x:c r="FC3"/>
      <x:c r="FD3" t="str">
        <x:v>获取数据集或预训练权重</x:v>
      </x:c>
      <x:c r="FE3" t="str">
        <x:v>获取数据或权重</x:v>
      </x:c>
      <x:c r="FF3"/>
      <x:c r="FG3"/>
      <x:c r="FH3"/>
      <x:c r="FI3"/>
      <x:c r="FJ3"/>
      <x:c r="FK3" t="str">
        <x:v>否</x:v>
      </x:c>
      <x:c r="FL3"/>
      <x:c r="FM3"/>
      <x:c r="FN3" t="str">
        <x:v>是否提供可用的预训练权重┋所需显存、存储空间和预计运行时间</x:v>
      </x:c>
      <x:c r="FO3" t="str">
        <x:v>与冻结问卷及V0.2.1一致</x:v>
      </x:c>
    </x:row>
    <x:row r="4" ht="38" customHeight="1">
      <x:c r="A4" s="37" t="str">
        <x:v>F-003</x:v>
      </x:c>
      <x:c r="B4" s="37" t="str">
        <x:v>有效核心样本</x:v>
      </x:c>
      <x:c r="C4" s="37" t="n">
        <x:v>1</x:v>
      </x:c>
      <x:c r="D4" s="34" t="str">
        <x:v>完整跑通，并达到接近目标的结果</x:v>
      </x:c>
      <x:c r="E4" s="34" t="str">
        <x:v>30 分钟—2 小时</x:v>
      </x:c>
      <x:c r="F4" s="172" t="n">
        <x:v>2</x:v>
      </x:c>
      <x:c r="G4" s="43" t="str">
        <x:v>运行训练、推理或测试</x:v>
      </x:c>
      <x:c r="H4" s="174" t="str">
        <x:v>运行训练/推理/测试</x:v>
      </x:c>
      <x:c r="I4" s="176"/>
      <x:c r="J4" s="178"/>
      <x:c r="K4" s="227" t="str">
        <x:v>运行训练、推理或测试</x:v>
      </x:c>
      <x:c r="L4" s="256" t="str">
        <x:f>IF(LEFT(K4,2)="其他","其他",XLOOKUP(K4,tbl_q10_map[原始匹配值],tbl_q10_map[展示分类],"未映射"))</x:f>
        <x:v>未映射</x:v>
      </x:c>
      <x:c r="M4" s="262" t="str">
        <x:f>IF(L4&lt;&gt;"其他","",IFERROR(TEXTBEFORE(TEXTAFTER(K4,"〖"),"〗"),"未说明"))</x:f>
      </x:c>
      <x:c r="N4" s="304" t="str">
        <x:v>关键依赖包版本冲突，例如 NumPy、mmcv、transformers 等库之间不兼容┋显存、存储空间或预计运行时间不足┋论文与代码的评测口径不清</x:v>
      </x:c>
      <x:c r="O4" s="331" t="n">
        <x:f>--ISNUMBER(SEARCH("未遇到以上问题",N4))</x:f>
        <x:v>0</x:v>
      </x:c>
      <x:c r="P4" s="331" t="n">
        <x:f>--ISNUMBER(SEARCH("数据无法获得或缺少访问权限",N4))</x:f>
        <x:v>0</x:v>
      </x:c>
      <x:c r="Q4" s="331" t="n">
        <x:f>--ISNUMBER(SEARCH("预训练权重缺失或与代码不兼容",N4))</x:f>
        <x:v>0</x:v>
      </x:c>
      <x:c r="R4" s="331" t="n">
        <x:f>--ISNUMBER(SEARCH("Python、CUDA 或深度学习框架版本不匹配",N4))</x:f>
        <x:v>0</x:v>
      </x:c>
      <x:c r="S4" s="331" t="n">
        <x:f>--ISNUMBER(SEARCH("关键依赖包版本冲突",N4))</x:f>
        <x:v>1</x:v>
      </x:c>
      <x:c r="T4" s="331" t="n">
        <x:f>--ISNUMBER(SEARCH("显存、存储空间或预计运行时间不足",N4))</x:f>
        <x:v>1</x:v>
      </x:c>
      <x:c r="U4" s="331" t="n">
        <x:f>--ISNUMBER(SEARCH("启动命令、配置文件或路径说明缺失",N4))</x:f>
        <x:v>0</x:v>
      </x:c>
      <x:c r="V4" s="331" t="n">
        <x:f>--ISNUMBER(SEARCH("论文与代码的评测口径不清",N4))</x:f>
        <x:v>1</x:v>
      </x:c>
      <x:c r="W4" s="331" t="n">
        <x:f>--ISNUMBER(SEARCH("许可证或使用范围受到限制",N4))</x:f>
        <x:v>0</x:v>
      </x:c>
      <x:c r="X4" s="331" t="n">
        <x:f>--ISNUMBER(SEARCH("其他",N4))</x:f>
        <x:v>0</x:v>
      </x:c>
      <x:c r="Y4" s="352" t="str">
        <x:f>IF(X4&lt;&gt;1,"",IFERROR(TEXTBEFORE(TEXTAFTER(N4,"〖"),"〗"),"未说明"))</x:f>
      </x:c>
      <x:c r="Z4" s="334" t="n">
        <x:f>SUM(O4:X4)</x:f>
        <x:v>3</x:v>
      </x:c>
      <x:c r="AA4" s="334" t="n">
        <x:f>SUM(P4:X4)</x:f>
        <x:v>3</x:v>
      </x:c>
      <x:c r="AB4" s="334" t="n">
        <x:f>--(AA4&gt;0)</x:f>
        <x:v>1</x:v>
      </x:c>
      <x:c r="AC4" s="343" t="n">
        <x:f>--AND(O4=1,AA4&gt;0)</x:f>
        <x:v>0</x:v>
      </x:c>
      <x:c r="AD4" s="396" t="str">
        <x:v>搜索引擎┋通用大模型或 AI 助手</x:v>
      </x:c>
      <x:c r="AE4" s="415" t="n">
        <x:f>--ISNUMBER(SEARCH("搜索引擎",AD4))</x:f>
        <x:v>1</x:v>
      </x:c>
      <x:c r="AF4" s="415" t="n">
        <x:f>--ISNUMBER(SEARCH("通用大模型或 AI 助手",AD4))</x:f>
        <x:v>1</x:v>
      </x:c>
      <x:c r="AG4" s="415" t="n">
        <x:f>--ISNUMBER(SEARCH("GitHub Issue/Discussion",AD4))</x:f>
        <x:v>0</x:v>
      </x:c>
      <x:c r="AH4" s="415" t="n">
        <x:f>--ISNUMBER(SEARCH("阅读 README、文档或源码",AD4))</x:f>
        <x:v>0</x:v>
      </x:c>
      <x:c r="AI4" s="415" t="n">
        <x:f>--ISNUMBER(SEARCH("复现博客、教程或视频",AD4))</x:f>
        <x:v>0</x:v>
      </x:c>
      <x:c r="AJ4" s="415" t="n">
        <x:f>--ISNUMBER(SEARCH("询问同学、同事或导师",AD4))</x:f>
        <x:v>0</x:v>
      </x:c>
      <x:c r="AK4" s="415" t="n">
        <x:f>--ISNUMBER(SEARCH("没有使用以上方式",AD4))</x:f>
        <x:v>0</x:v>
      </x:c>
      <x:c r="AL4" s="415" t="n">
        <x:f>--ISNUMBER(SEARCH("其他",AD4))</x:f>
        <x:v>0</x:v>
      </x:c>
      <x:c r="AM4" s="440" t="str">
        <x:f>IF(AL4&lt;&gt;1,"",IFERROR(TEXTBEFORE(TEXTAFTER(AD4,"〖"),"〗"),"未说明"))</x:f>
      </x:c>
      <x:c r="AN4" s="426" t="n">
        <x:f>SUM(AE4:AJ4)+AL4</x:f>
        <x:v>2</x:v>
      </x:c>
      <x:c r="AO4" s="426" t="n">
        <x:f>AN4+AK4</x:f>
        <x:v>2</x:v>
      </x:c>
      <x:c r="AP4" s="426" t="n">
        <x:f>--(AN4&gt;0)</x:f>
        <x:v>1</x:v>
      </x:c>
      <x:c r="AQ4" s="426" t="n">
        <x:f>--AND(AK4=1,AN4&gt;0)</x:f>
        <x:v>0</x:v>
      </x:c>
      <x:c r="AR4" s="496" t="str">
        <x:v>结论缺少来源或证据，难以判断是否可信┋不了解我的硬件、系统或软件环境</x:v>
      </x:c>
      <x:c r="AS4" s="415" t="n">
        <x:f>--ISNUMBER(SEARCH("没有明显不足",AR4))</x:f>
        <x:v>0</x:v>
      </x:c>
      <x:c r="AT4" s="415" t="n">
        <x:f>--ISNUMBER(SEARCH("信息分散，需要反复查找和拼接",AR4))</x:f>
        <x:v>0</x:v>
      </x:c>
      <x:c r="AU4" s="415" t="n">
        <x:f>--ISNUMBER(SEARCH("结论缺少来源或证据，难以判断是否可信",AR4))</x:f>
        <x:v>1</x:v>
      </x:c>
      <x:c r="AV4" s="415" t="n">
        <x:f>--ISNUMBER(SEARCH("建议过于泛化，无法直接用于当前项目",AR4))</x:f>
        <x:v>0</x:v>
      </x:c>
      <x:c r="AW4" s="415" t="n">
        <x:f>--ISNUMBER(SEARCH("不了解我的硬件、系统或软件环境",AR4))</x:f>
        <x:v>1</x:v>
      </x:c>
      <x:c r="AX4" s="415" t="n">
        <x:f>--ISNUMBER(SEARCH("没有说明操作步骤的先后顺序",AR4))</x:f>
        <x:v>0</x:v>
      </x:c>
      <x:c r="AY4" s="415" t="n">
        <x:f>--ISNUMBER(SEARCH("对覆盖文件、删除文件等高风险操作缺少提醒",AR4))</x:f>
        <x:v>0</x:v>
      </x:c>
      <x:c r="AZ4" s="415" t="n">
        <x:f>--ISNUMBER(SEARCH("难以保存和延续此前的排错上下文",AR4))</x:f>
        <x:v>0</x:v>
      </x:c>
      <x:c r="BA4" s="415" t="n">
        <x:f>--ISNUMBER(SEARCH("相同问题得到的回答不稳定",AR4))</x:f>
        <x:v>0</x:v>
      </x:c>
      <x:c r="BB4" s="415" t="n">
        <x:f>--ISNUMBER(SEARCH("其他",AR4))</x:f>
        <x:v>0</x:v>
      </x:c>
      <x:c r="BC4" s="501" t="str">
        <x:f>IF(BB4=1,IFERROR(TEXTBEFORE(TEXTAFTER(AR4,"〖"),"〗"),"未说明"),"")</x:f>
      </x:c>
      <x:c r="BD4" s="426" t="n">
        <x:f>SUM(AT4:BB4)</x:f>
        <x:v>2</x:v>
      </x:c>
      <x:c r="BE4" s="426" t="n">
        <x:f>BD4+AS4</x:f>
        <x:v>2</x:v>
      </x:c>
      <x:c r="BF4" s="426" t="n">
        <x:f>--(BD4&gt;0)</x:f>
        <x:v>1</x:v>
      </x:c>
      <x:c r="BG4" s="426" t="n">
        <x:f>--AND(AS4=1,BD4&gt;0)</x:f>
        <x:v>0</x:v>
      </x:c>
      <x:c r="BH4" s="564" t="str">
        <x:v>数据集是否能够获得，以及是否需要申请权限┋Python、CUDA 和深度学习框架的版本要求</x:v>
      </x:c>
      <x:c r="BI4" s="575" t="n">
        <x:f>--ISNUMBER(SEARCH("数据集是否能够获得，以及是否需要申请权限",BH4))</x:f>
        <x:v>1</x:v>
      </x:c>
      <x:c r="BJ4" s="575" t="n">
        <x:f>--ISNUMBER(SEARCH("是否提供可用的预训练权重",BH4))</x:f>
        <x:v>0</x:v>
      </x:c>
      <x:c r="BK4" s="575" t="n">
        <x:f>--ISNUMBER(SEARCH("Python、CUDA 和深度学习框架的版本要求",BH4))</x:f>
        <x:v>1</x:v>
      </x:c>
      <x:c r="BL4" s="575" t="n">
        <x:f>--ISNUMBER(SEARCH("所需显存、存储空间和预计运行时间",BH4))</x:f>
        <x:v>0</x:v>
      </x:c>
      <x:c r="BM4" s="575" t="n">
        <x:f>--ISNUMBER(SEARCH("启动命令、配置文件和关键路径是否完整",BH4))</x:f>
        <x:v>0</x:v>
      </x:c>
      <x:c r="BN4" s="575" t="n">
        <x:f>--ISNUMBER(SEARCH("论文与代码的评测指标和实验口径是否一致",BH4))</x:f>
        <x:v>0</x:v>
      </x:c>
      <x:c r="BO4" s="575" t="n">
        <x:f>--ISNUMBER(SEARCH("项目许可证和允许使用的范围",BH4))</x:f>
        <x:v>0</x:v>
      </x:c>
      <x:c r="BP4" s="575" t="n">
        <x:f>--ISNUMBER(SEARCH("可能导致复现失败的关键风险",BH4))</x:f>
        <x:v>0</x:v>
      </x:c>
      <x:c r="BQ4" s="575" t="n">
        <x:f>--ISNUMBER(SEARCH("当前情况下最适合执行的第一步",BH4))</x:f>
        <x:v>0</x:v>
      </x:c>
      <x:c r="BR4" s="575" t="n">
        <x:f>--ISNUMBER(SEARCH("其他",BH4))</x:f>
        <x:v>0</x:v>
      </x:c>
      <x:c r="BS4" s="575" t="str">
        <x:f>IF(BR4=1,IFERROR(TEXTBEFORE(TEXTAFTER(BH4,"〖"),"〗"),"未说明"),"")</x:f>
      </x:c>
      <x:c r="BT4" s="575" t="n">
        <x:f>SUM(BI4:BR4)</x:f>
        <x:v>2</x:v>
      </x:c>
      <x:c r="BU4" s="575" t="n">
        <x:f>--(BT4&gt;3)</x:f>
        <x:v>0</x:v>
      </x:c>
      <x:c r="BV4" s="609" t="str">
        <x:v>可直接执行</x:v>
      </x:c>
      <x:c r="BW4" s="614" t="n">
        <x:f>SWITCH(BV4,"可直接执行",1,"展示具体内容并经我确认后执行",2,"每一步都必须单独审批",3,"完全不允许",4,"未映射")</x:f>
        <x:v>1</x:v>
      </x:c>
      <x:c r="BX4" s="609" t="str">
        <x:v>可直接执行</x:v>
      </x:c>
      <x:c r="BY4" s="614" t="n">
        <x:f>SWITCH(BX4,"可直接执行",1,"展示具体内容并经我确认后执行",2,"每一步都必须单独审批",3,"完全不允许",4,"未映射")</x:f>
        <x:v>1</x:v>
      </x:c>
      <x:c r="BZ4" s="609" t="str">
        <x:v>展示具体内容并经我确认后执行</x:v>
      </x:c>
      <x:c r="CA4" s="614" t="n">
        <x:f>SWITCH(BZ4,"可直接执行",1,"展示具体内容并经我确认后执行",2,"每一步都必须单独审批",3,"完全不允许",4,"未映射")</x:f>
        <x:v>2</x:v>
      </x:c>
      <x:c r="CB4" s="609" t="str">
        <x:v>每一步都必须单独审批</x:v>
      </x:c>
      <x:c r="CC4" s="614" t="n">
        <x:f>SWITCH(CB4,"可直接执行",1,"展示具体内容并经我确认后执行",2,"每一步都必须单独审批",3,"完全不允许",4,"未映射")</x:f>
        <x:v>3</x:v>
      </x:c>
      <x:c r="CD4" s="609" t="str">
        <x:v>完全不允许</x:v>
      </x:c>
      <x:c r="CE4" s="614" t="n">
        <x:f>SWITCH(CD4,"可直接执行",1,"展示具体内容并经我确认后执行",2,"每一步都必须单独审批",3,"完全不允许",4,"未映射")</x:f>
        <x:v>4</x:v>
      </x:c>
      <x:c r="CF4" s="609" t="str">
        <x:v>展示具体内容并经我确认后执行</x:v>
      </x:c>
      <x:c r="CG4" s="614" t="n">
        <x:f>SWITCH(CF4,"可直接执行",1,"展示具体内容并经我确认后执行",2,"每一步都必须单独审批",3,"完全不允许",4,"未映射")</x:f>
        <x:v>2</x:v>
      </x:c>
      <x:c r="CH4" s="639" t="n">
        <x:f>--AND(BY4&gt;=2,CC4&gt;=2,CE4&gt;=2)</x:f>
        <x:v>0</x:v>
      </x:c>
      <x:c r="CI4" s="679" t="str">
        <x:v>分享给导师或负责人，用于确认是否值得继续投入┋分享给同学或同事，请对方协助处理具体问题┋分享给项目成员，用于同步环境、资源或复现风险</x:v>
      </x:c>
      <x:c r="CJ4" s="684" t="n">
        <x:f>--ISNUMBER(SEARCH("分享给导师或负责人",CI4))</x:f>
        <x:v>1</x:v>
      </x:c>
      <x:c r="CK4" s="684" t="n">
        <x:f>--ISNUMBER(SEARCH("分享给同学或同事",CI4))</x:f>
        <x:v>1</x:v>
      </x:c>
      <x:c r="CL4" s="684" t="n">
        <x:f>--ISNUMBER(SEARCH("分享给项目成员",CI4))</x:f>
        <x:v>1</x:v>
      </x:c>
      <x:c r="CM4" s="684" t="n">
        <x:f>--ISNUMBER(SEARCH("仅自己查看和留存",CI4))</x:f>
        <x:v>0</x:v>
      </x:c>
      <x:c r="CN4" s="684" t="n">
        <x:f>--ISNUMBER(SEARCH("不会使用或分享这类报告",CI4))</x:f>
        <x:v>0</x:v>
      </x:c>
      <x:c r="CO4" s="684" t="n">
        <x:f>--ISNUMBER(SEARCH("其他",CI4))</x:f>
        <x:v>0</x:v>
      </x:c>
      <x:c r="CP4" s="688" t="str">
        <x:f>IF(CO4=1,IFERROR(TEXTBEFORE(TEXTAFTER(CI4,"〖"),"〗"),"未说明"),"")</x:f>
      </x:c>
      <x:c r="CQ4" s="692" t="n">
        <x:f>SUM(CJ4:CO4)</x:f>
        <x:v>3</x:v>
      </x:c>
      <x:c r="CR4" s="692" t="n">
        <x:f>SUM(CJ4:CL4)</x:f>
        <x:v>3</x:v>
      </x:c>
      <x:c r="CS4" s="692" t="n">
        <x:f>--(CR4&gt;0)</x:f>
        <x:v>1</x:v>
      </x:c>
      <x:c r="CT4" s="692" t="n">
        <x:f>--AND(CN4=1,CQ4&gt;1)</x:f>
        <x:v>0</x:v>
      </x:c>
      <x:c r="CU4"/>
      <x:c r="CV4"/>
      <x:c r="CW4"/>
      <x:c r="CX4"/>
      <x:c r="CY4"/>
      <x:c r="CZ4"/>
      <x:c r="DA4"/>
      <x:c r="DB4"/>
      <x:c r="DC4"/>
      <x:c r="DD4"/>
      <x:c r="DE4"/>
      <x:c r="DF4"/>
      <x:c r="DG4"/>
      <x:c r="DI4"/>
      <x:c r="DJ4"/>
      <x:c r="EA4"/>
      <x:c r="EB4"/>
      <x:c r="EC4"/>
      <x:c r="ED4"/>
      <x:c r="EE4"/>
      <x:c r="EF4"/>
      <x:c r="EG4"/>
      <x:c r="EH4"/>
      <x:c r="EI4"/>
      <x:c r="EJ4"/>
      <x:c r="EK4"/>
      <x:c r="EL4"/>
      <x:c r="EM4"/>
      <x:c r="EN4"/>
      <x:c r="EO4"/>
      <x:c r="EP4"/>
      <x:c r="EQ4"/>
      <x:c r="ER4"/>
      <x:c r="ES4"/>
      <x:c r="ET4"/>
      <x:c r="EU4"/>
      <x:c r="EV4"/>
      <x:c r="EW4"/>
      <x:c r="EX4"/>
      <x:c r="EY4"/>
      <x:c r="EZ4"/>
      <x:c r="FA4"/>
      <x:c r="FB4" t="n">
        <x:v>0</x:v>
      </x:c>
      <x:c r="FC4"/>
      <x:c r="FD4" t="str">
        <x:v>安装依赖并配置软件环境</x:v>
      </x:c>
      <x:c r="FE4" t="str">
        <x:v>安装依赖并配置环境</x:v>
      </x:c>
      <x:c r="FF4"/>
      <x:c r="FG4"/>
      <x:c r="FH4"/>
      <x:c r="FI4"/>
      <x:c r="FJ4"/>
      <x:c r="FK4" t="str">
        <x:v>否</x:v>
      </x:c>
      <x:c r="FL4"/>
      <x:c r="FM4"/>
      <x:c r="FN4" t="str">
        <x:v>是否提供可用的预训练权重┋所需显存、存储空间和预计运行时间┋论文与代码的评测指标和实验口径是否一致</x:v>
      </x:c>
      <x:c r="FO4" t="str">
        <x:v>与冻结问卷及V0.2.1一致</x:v>
      </x:c>
    </x:row>
    <x:row r="5" ht="38" customHeight="1">
      <x:c r="A5" s="37" t="str">
        <x:v>F-004</x:v>
      </x:c>
      <x:c r="B5" s="37" t="str">
        <x:v>有效核心样本</x:v>
      </x:c>
      <x:c r="C5" s="37" t="n">
        <x:v>1</x:v>
      </x:c>
      <x:c r="D5" s="34" t="str">
        <x:v>完整跑通，并达到接近目标的结果</x:v>
      </x:c>
      <x:c r="E5" s="34" t="str">
        <x:v>超过 1 周</x:v>
      </x:c>
      <x:c r="F5" s="172" t="n">
        <x:v>7</x:v>
      </x:c>
      <x:c r="G5" s="43" t="str">
        <x:v>前期了解项目并判断是否值得复现</x:v>
      </x:c>
      <x:c r="H5" s="174" t="str">
        <x:v>前期了解并判断</x:v>
      </x:c>
      <x:c r="I5" s="176"/>
      <x:c r="J5" s="178"/>
      <x:c r="K5" s="227" t="str">
        <x:v>排查并解决运行错误</x:v>
      </x:c>
      <x:c r="L5" s="256" t="str">
        <x:f>IF(LEFT(K5,2)="其他","其他",XLOOKUP(K5,tbl_q10_map[原始匹配值],tbl_q10_map[展示分类],"未映射"))</x:f>
        <x:v>未映射</x:v>
      </x:c>
      <x:c r="M5" s="262" t="str">
        <x:f>IF(L5&lt;&gt;"其他","",IFERROR(TEXTBEFORE(TEXTAFTER(K5,"〖"),"〗"),"未说明"))</x:f>
      </x:c>
      <x:c r="N5" s="304" t="str">
        <x:v>数据无法获得或缺少访问权限</x:v>
      </x:c>
      <x:c r="O5" s="331" t="n">
        <x:f>--ISNUMBER(SEARCH("未遇到以上问题",N5))</x:f>
        <x:v>0</x:v>
      </x:c>
      <x:c r="P5" s="331" t="n">
        <x:f>--ISNUMBER(SEARCH("数据无法获得或缺少访问权限",N5))</x:f>
        <x:v>1</x:v>
      </x:c>
      <x:c r="Q5" s="331" t="n">
        <x:f>--ISNUMBER(SEARCH("预训练权重缺失或与代码不兼容",N5))</x:f>
        <x:v>0</x:v>
      </x:c>
      <x:c r="R5" s="331" t="n">
        <x:f>--ISNUMBER(SEARCH("Python、CUDA 或深度学习框架版本不匹配",N5))</x:f>
        <x:v>0</x:v>
      </x:c>
      <x:c r="S5" s="331" t="n">
        <x:f>--ISNUMBER(SEARCH("关键依赖包版本冲突",N5))</x:f>
        <x:v>0</x:v>
      </x:c>
      <x:c r="T5" s="331" t="n">
        <x:f>--ISNUMBER(SEARCH("显存、存储空间或预计运行时间不足",N5))</x:f>
        <x:v>0</x:v>
      </x:c>
      <x:c r="U5" s="331" t="n">
        <x:f>--ISNUMBER(SEARCH("启动命令、配置文件或路径说明缺失",N5))</x:f>
        <x:v>0</x:v>
      </x:c>
      <x:c r="V5" s="331" t="n">
        <x:f>--ISNUMBER(SEARCH("论文与代码的评测口径不清",N5))</x:f>
        <x:v>0</x:v>
      </x:c>
      <x:c r="W5" s="331" t="n">
        <x:f>--ISNUMBER(SEARCH("许可证或使用范围受到限制",N5))</x:f>
        <x:v>0</x:v>
      </x:c>
      <x:c r="X5" s="331" t="n">
        <x:f>--ISNUMBER(SEARCH("其他",N5))</x:f>
        <x:v>0</x:v>
      </x:c>
      <x:c r="Y5" s="352" t="str">
        <x:f>IF(X5&lt;&gt;1,"",IFERROR(TEXTBEFORE(TEXTAFTER(N5,"〖"),"〗"),"未说明"))</x:f>
      </x:c>
      <x:c r="Z5" s="334" t="n">
        <x:f>SUM(O5:X5)</x:f>
        <x:v>1</x:v>
      </x:c>
      <x:c r="AA5" s="334" t="n">
        <x:f>SUM(P5:X5)</x:f>
        <x:v>1</x:v>
      </x:c>
      <x:c r="AB5" s="334" t="n">
        <x:f>--(AA5&gt;0)</x:f>
        <x:v>1</x:v>
      </x:c>
      <x:c r="AC5" s="343" t="n">
        <x:f>--AND(O5=1,AA5&gt;0)</x:f>
        <x:v>0</x:v>
      </x:c>
      <x:c r="AD5" s="396" t="str">
        <x:v>搜索引擎┋通用大模型或 AI 助手┋GitHub Issue/Discussion</x:v>
      </x:c>
      <x:c r="AE5" s="415" t="n">
        <x:f>--ISNUMBER(SEARCH("搜索引擎",AD5))</x:f>
        <x:v>1</x:v>
      </x:c>
      <x:c r="AF5" s="415" t="n">
        <x:f>--ISNUMBER(SEARCH("通用大模型或 AI 助手",AD5))</x:f>
        <x:v>1</x:v>
      </x:c>
      <x:c r="AG5" s="415" t="n">
        <x:f>--ISNUMBER(SEARCH("GitHub Issue/Discussion",AD5))</x:f>
        <x:v>1</x:v>
      </x:c>
      <x:c r="AH5" s="415" t="n">
        <x:f>--ISNUMBER(SEARCH("阅读 README、文档或源码",AD5))</x:f>
        <x:v>0</x:v>
      </x:c>
      <x:c r="AI5" s="415" t="n">
        <x:f>--ISNUMBER(SEARCH("复现博客、教程或视频",AD5))</x:f>
        <x:v>0</x:v>
      </x:c>
      <x:c r="AJ5" s="415" t="n">
        <x:f>--ISNUMBER(SEARCH("询问同学、同事或导师",AD5))</x:f>
        <x:v>0</x:v>
      </x:c>
      <x:c r="AK5" s="415" t="n">
        <x:f>--ISNUMBER(SEARCH("没有使用以上方式",AD5))</x:f>
        <x:v>0</x:v>
      </x:c>
      <x:c r="AL5" s="415" t="n">
        <x:f>--ISNUMBER(SEARCH("其他",AD5))</x:f>
        <x:v>0</x:v>
      </x:c>
      <x:c r="AM5" s="440" t="str">
        <x:f>IF(AL5&lt;&gt;1,"",IFERROR(TEXTBEFORE(TEXTAFTER(AD5,"〖"),"〗"),"未说明"))</x:f>
      </x:c>
      <x:c r="AN5" s="426" t="n">
        <x:f>SUM(AE5:AJ5)+AL5</x:f>
        <x:v>3</x:v>
      </x:c>
      <x:c r="AO5" s="426" t="n">
        <x:f>AN5+AK5</x:f>
        <x:v>3</x:v>
      </x:c>
      <x:c r="AP5" s="426" t="n">
        <x:f>--(AN5&gt;0)</x:f>
        <x:v>1</x:v>
      </x:c>
      <x:c r="AQ5" s="426" t="n">
        <x:f>--AND(AK5=1,AN5&gt;0)</x:f>
        <x:v>0</x:v>
      </x:c>
      <x:c r="AR5" s="496" t="str">
        <x:v>信息分散，需要反复查找和拼接┋结论缺少来源或证据，难以判断是否可信</x:v>
      </x:c>
      <x:c r="AS5" s="415" t="n">
        <x:f>--ISNUMBER(SEARCH("没有明显不足",AR5))</x:f>
        <x:v>0</x:v>
      </x:c>
      <x:c r="AT5" s="415" t="n">
        <x:f>--ISNUMBER(SEARCH("信息分散，需要反复查找和拼接",AR5))</x:f>
        <x:v>1</x:v>
      </x:c>
      <x:c r="AU5" s="415" t="n">
        <x:f>--ISNUMBER(SEARCH("结论缺少来源或证据，难以判断是否可信",AR5))</x:f>
        <x:v>1</x:v>
      </x:c>
      <x:c r="AV5" s="415" t="n">
        <x:f>--ISNUMBER(SEARCH("建议过于泛化，无法直接用于当前项目",AR5))</x:f>
        <x:v>0</x:v>
      </x:c>
      <x:c r="AW5" s="415" t="n">
        <x:f>--ISNUMBER(SEARCH("不了解我的硬件、系统或软件环境",AR5))</x:f>
        <x:v>0</x:v>
      </x:c>
      <x:c r="AX5" s="415" t="n">
        <x:f>--ISNUMBER(SEARCH("没有说明操作步骤的先后顺序",AR5))</x:f>
        <x:v>0</x:v>
      </x:c>
      <x:c r="AY5" s="415" t="n">
        <x:f>--ISNUMBER(SEARCH("对覆盖文件、删除文件等高风险操作缺少提醒",AR5))</x:f>
        <x:v>0</x:v>
      </x:c>
      <x:c r="AZ5" s="415" t="n">
        <x:f>--ISNUMBER(SEARCH("难以保存和延续此前的排错上下文",AR5))</x:f>
        <x:v>0</x:v>
      </x:c>
      <x:c r="BA5" s="415" t="n">
        <x:f>--ISNUMBER(SEARCH("相同问题得到的回答不稳定",AR5))</x:f>
        <x:v>0</x:v>
      </x:c>
      <x:c r="BB5" s="415" t="n">
        <x:f>--ISNUMBER(SEARCH("其他",AR5))</x:f>
        <x:v>0</x:v>
      </x:c>
      <x:c r="BC5" s="501" t="str">
        <x:f>IF(BB5=1,IFERROR(TEXTBEFORE(TEXTAFTER(AR5,"〖"),"〗"),"未说明"),"")</x:f>
      </x:c>
      <x:c r="BD5" s="426" t="n">
        <x:f>SUM(AT5:BB5)</x:f>
        <x:v>2</x:v>
      </x:c>
      <x:c r="BE5" s="426" t="n">
        <x:f>BD5+AS5</x:f>
        <x:v>2</x:v>
      </x:c>
      <x:c r="BF5" s="426" t="n">
        <x:f>--(BD5&gt;0)</x:f>
        <x:v>1</x:v>
      </x:c>
      <x:c r="BG5" s="426" t="n">
        <x:f>--AND(AS5=1,BD5&gt;0)</x:f>
        <x:v>0</x:v>
      </x:c>
      <x:c r="BH5" s="564" t="str">
        <x:v>数据集是否能够获得，以及是否需要申请权限┋Python、CUDA 和深度学习框架的版本要求</x:v>
      </x:c>
      <x:c r="BI5" s="575" t="n">
        <x:f>--ISNUMBER(SEARCH("数据集是否能够获得，以及是否需要申请权限",BH5))</x:f>
        <x:v>1</x:v>
      </x:c>
      <x:c r="BJ5" s="575" t="n">
        <x:f>--ISNUMBER(SEARCH("是否提供可用的预训练权重",BH5))</x:f>
        <x:v>0</x:v>
      </x:c>
      <x:c r="BK5" s="575" t="n">
        <x:f>--ISNUMBER(SEARCH("Python、CUDA 和深度学习框架的版本要求",BH5))</x:f>
        <x:v>1</x:v>
      </x:c>
      <x:c r="BL5" s="575" t="n">
        <x:f>--ISNUMBER(SEARCH("所需显存、存储空间和预计运行时间",BH5))</x:f>
        <x:v>0</x:v>
      </x:c>
      <x:c r="BM5" s="575" t="n">
        <x:f>--ISNUMBER(SEARCH("启动命令、配置文件和关键路径是否完整",BH5))</x:f>
        <x:v>0</x:v>
      </x:c>
      <x:c r="BN5" s="575" t="n">
        <x:f>--ISNUMBER(SEARCH("论文与代码的评测指标和实验口径是否一致",BH5))</x:f>
        <x:v>0</x:v>
      </x:c>
      <x:c r="BO5" s="575" t="n">
        <x:f>--ISNUMBER(SEARCH("项目许可证和允许使用的范围",BH5))</x:f>
        <x:v>0</x:v>
      </x:c>
      <x:c r="BP5" s="575" t="n">
        <x:f>--ISNUMBER(SEARCH("可能导致复现失败的关键风险",BH5))</x:f>
        <x:v>0</x:v>
      </x:c>
      <x:c r="BQ5" s="575" t="n">
        <x:f>--ISNUMBER(SEARCH("当前情况下最适合执行的第一步",BH5))</x:f>
        <x:v>0</x:v>
      </x:c>
      <x:c r="BR5" s="575" t="n">
        <x:f>--ISNUMBER(SEARCH("其他",BH5))</x:f>
        <x:v>0</x:v>
      </x:c>
      <x:c r="BS5" s="575" t="str">
        <x:f>IF(BR5=1,IFERROR(TEXTBEFORE(TEXTAFTER(BH5,"〖"),"〗"),"未说明"),"")</x:f>
      </x:c>
      <x:c r="BT5" s="575" t="n">
        <x:f>SUM(BI5:BR5)</x:f>
        <x:v>2</x:v>
      </x:c>
      <x:c r="BU5" s="575" t="n">
        <x:f>--(BT5&gt;3)</x:f>
        <x:v>0</x:v>
      </x:c>
      <x:c r="BV5" s="609" t="str">
        <x:v>可直接执行</x:v>
      </x:c>
      <x:c r="BW5" s="614" t="n">
        <x:f>SWITCH(BV5,"可直接执行",1,"展示具体内容并经我确认后执行",2,"每一步都必须单独审批",3,"完全不允许",4,"未映射")</x:f>
        <x:v>1</x:v>
      </x:c>
      <x:c r="BX5" s="609" t="str">
        <x:v>可直接执行</x:v>
      </x:c>
      <x:c r="BY5" s="614" t="n">
        <x:f>SWITCH(BX5,"可直接执行",1,"展示具体内容并经我确认后执行",2,"每一步都必须单独审批",3,"完全不允许",4,"未映射")</x:f>
        <x:v>1</x:v>
      </x:c>
      <x:c r="BZ5" s="609" t="str">
        <x:v>可直接执行</x:v>
      </x:c>
      <x:c r="CA5" s="614" t="n">
        <x:f>SWITCH(BZ5,"可直接执行",1,"展示具体内容并经我确认后执行",2,"每一步都必须单独审批",3,"完全不允许",4,"未映射")</x:f>
        <x:v>1</x:v>
      </x:c>
      <x:c r="CB5" s="609" t="str">
        <x:v>可直接执行</x:v>
      </x:c>
      <x:c r="CC5" s="614" t="n">
        <x:f>SWITCH(CB5,"可直接执行",1,"展示具体内容并经我确认后执行",2,"每一步都必须单独审批",3,"完全不允许",4,"未映射")</x:f>
        <x:v>1</x:v>
      </x:c>
      <x:c r="CD5" s="609" t="str">
        <x:v>可直接执行</x:v>
      </x:c>
      <x:c r="CE5" s="614" t="n">
        <x:f>SWITCH(CD5,"可直接执行",1,"展示具体内容并经我确认后执行",2,"每一步都必须单独审批",3,"完全不允许",4,"未映射")</x:f>
        <x:v>1</x:v>
      </x:c>
      <x:c r="CF5" s="609" t="str">
        <x:v>可直接执行</x:v>
      </x:c>
      <x:c r="CG5" s="614" t="n">
        <x:f>SWITCH(CF5,"可直接执行",1,"展示具体内容并经我确认后执行",2,"每一步都必须单独审批",3,"完全不允许",4,"未映射")</x:f>
        <x:v>1</x:v>
      </x:c>
      <x:c r="CH5" s="639" t="n">
        <x:f>--AND(BY5&gt;=2,CC5&gt;=2,CE5&gt;=2)</x:f>
        <x:v>0</x:v>
      </x:c>
      <x:c r="CI5" s="679" t="str">
        <x:v>分享给导师或负责人，用于确认是否值得继续投入</x:v>
      </x:c>
      <x:c r="CJ5" s="684" t="n">
        <x:f>--ISNUMBER(SEARCH("分享给导师或负责人",CI5))</x:f>
        <x:v>1</x:v>
      </x:c>
      <x:c r="CK5" s="684" t="n">
        <x:f>--ISNUMBER(SEARCH("分享给同学或同事",CI5))</x:f>
        <x:v>0</x:v>
      </x:c>
      <x:c r="CL5" s="684" t="n">
        <x:f>--ISNUMBER(SEARCH("分享给项目成员",CI5))</x:f>
        <x:v>0</x:v>
      </x:c>
      <x:c r="CM5" s="684" t="n">
        <x:f>--ISNUMBER(SEARCH("仅自己查看和留存",CI5))</x:f>
        <x:v>0</x:v>
      </x:c>
      <x:c r="CN5" s="684" t="n">
        <x:f>--ISNUMBER(SEARCH("不会使用或分享这类报告",CI5))</x:f>
        <x:v>0</x:v>
      </x:c>
      <x:c r="CO5" s="684" t="n">
        <x:f>--ISNUMBER(SEARCH("其他",CI5))</x:f>
        <x:v>0</x:v>
      </x:c>
      <x:c r="CP5" s="688" t="str">
        <x:f>IF(CO5=1,IFERROR(TEXTBEFORE(TEXTAFTER(CI5,"〖"),"〗"),"未说明"),"")</x:f>
      </x:c>
      <x:c r="CQ5" s="692" t="n">
        <x:f>SUM(CJ5:CO5)</x:f>
        <x:v>1</x:v>
      </x:c>
      <x:c r="CR5" s="692" t="n">
        <x:f>SUM(CJ5:CL5)</x:f>
        <x:v>1</x:v>
      </x:c>
      <x:c r="CS5" s="692" t="n">
        <x:f>--(CR5&gt;0)</x:f>
        <x:v>1</x:v>
      </x:c>
      <x:c r="CT5" s="692" t="n">
        <x:f>--AND(CN5=1,CQ5&gt;1)</x:f>
        <x:v>0</x:v>
      </x:c>
      <x:c r="CU5"/>
      <x:c r="CV5"/>
      <x:c r="CW5"/>
      <x:c r="CX5"/>
      <x:c r="CY5"/>
      <x:c r="CZ5"/>
      <x:c r="DA5"/>
      <x:c r="DB5"/>
      <x:c r="DC5"/>
      <x:c r="DD5"/>
      <x:c r="DE5"/>
      <x:c r="DF5"/>
      <x:c r="DG5"/>
      <x:c r="DI5"/>
      <x:c r="DJ5"/>
      <x:c r="EA5"/>
      <x:c r="EB5"/>
      <x:c r="EC5"/>
      <x:c r="ED5"/>
      <x:c r="EE5"/>
      <x:c r="EF5"/>
      <x:c r="EG5"/>
      <x:c r="EH5"/>
      <x:c r="EI5"/>
      <x:c r="EJ5"/>
      <x:c r="EK5"/>
      <x:c r="EL5"/>
      <x:c r="EM5"/>
      <x:c r="EN5"/>
      <x:c r="EO5"/>
      <x:c r="EP5"/>
      <x:c r="EQ5"/>
      <x:c r="ER5"/>
      <x:c r="ES5"/>
      <x:c r="ET5"/>
      <x:c r="EU5"/>
      <x:c r="EV5"/>
      <x:c r="EW5"/>
      <x:c r="EX5"/>
      <x:c r="EY5"/>
      <x:c r="EZ5"/>
      <x:c r="FA5"/>
      <x:c r="FB5" t="n">
        <x:v>20</x:v>
      </x:c>
      <x:c r="FC5"/>
      <x:c r="FD5" t="str">
        <x:v>准备和预处理数据</x:v>
      </x:c>
      <x:c r="FE5" t="str">
        <x:v>准备和预处理数据</x:v>
      </x:c>
      <x:c r="FF5"/>
      <x:c r="FG5"/>
      <x:c r="FH5" t="n">
        <x:f>COUNTIF(tbl_core_metrics[DL10_展示分类],"其他")</x:f>
        <x:v>0</x:v>
      </x:c>
      <x:c r="FI5"/>
      <x:c r="FJ5"/>
      <x:c r="FK5" t="str">
        <x:v>否</x:v>
      </x:c>
      <x:c r="FL5"/>
      <x:c r="FM5"/>
      <x:c r="FN5" t="str">
        <x:v>数据集是否能够获得，以及是否需要申请权限</x:v>
      </x:c>
      <x:c r="FO5" t="str">
        <x:v>与冻结问卷及V0.2.1一致</x:v>
      </x:c>
    </x:row>
    <x:row r="6" ht="38" customHeight="1">
      <x:c r="A6" s="37" t="str">
        <x:v>F-006</x:v>
      </x:c>
      <x:c r="B6" s="37" t="str">
        <x:v>有效核心样本</x:v>
      </x:c>
      <x:c r="C6" s="37" t="n">
        <x:v>1</x:v>
      </x:c>
      <x:c r="D6" s="34" t="str">
        <x:v>已跑通，但结果与论文或项目说明明显不一致</x:v>
      </x:c>
      <x:c r="E6" s="34" t="str">
        <x:v>2—4 小时</x:v>
      </x:c>
      <x:c r="F6" s="172" t="n">
        <x:v>3</x:v>
      </x:c>
      <x:c r="G6" s="43" t="str">
        <x:v>准备和预处理数据</x:v>
      </x:c>
      <x:c r="H6" s="174" t="str">
        <x:v>准备和预处理数据</x:v>
      </x:c>
      <x:c r="I6" s="176"/>
      <x:c r="J6" s="178"/>
      <x:c r="K6" s="227" t="str">
        <x:v>没有明显卡住的环节</x:v>
      </x:c>
      <x:c r="L6" s="256" t="str">
        <x:f>IF(LEFT(K6,2)="其他","其他",XLOOKUP(K6,tbl_q10_map[原始匹配值],tbl_q10_map[展示分类],"未映射"))</x:f>
        <x:v>未映射</x:v>
      </x:c>
      <x:c r="M6" s="262" t="str">
        <x:f>IF(L6&lt;&gt;"其他","",IFERROR(TEXTBEFORE(TEXTAFTER(K6,"〖"),"〗"),"未说明"))</x:f>
      </x:c>
      <x:c r="N6" s="304" t="str">
        <x:v>未遇到以上问题</x:v>
      </x:c>
      <x:c r="O6" s="331" t="n">
        <x:f>--ISNUMBER(SEARCH("未遇到以上问题",N6))</x:f>
        <x:v>1</x:v>
      </x:c>
      <x:c r="P6" s="331" t="n">
        <x:f>--ISNUMBER(SEARCH("数据无法获得或缺少访问权限",N6))</x:f>
        <x:v>0</x:v>
      </x:c>
      <x:c r="Q6" s="331" t="n">
        <x:f>--ISNUMBER(SEARCH("预训练权重缺失或与代码不兼容",N6))</x:f>
        <x:v>0</x:v>
      </x:c>
      <x:c r="R6" s="331" t="n">
        <x:f>--ISNUMBER(SEARCH("Python、CUDA 或深度学习框架版本不匹配",N6))</x:f>
        <x:v>0</x:v>
      </x:c>
      <x:c r="S6" s="331" t="n">
        <x:f>--ISNUMBER(SEARCH("关键依赖包版本冲突",N6))</x:f>
        <x:v>0</x:v>
      </x:c>
      <x:c r="T6" s="331" t="n">
        <x:f>--ISNUMBER(SEARCH("显存、存储空间或预计运行时间不足",N6))</x:f>
        <x:v>0</x:v>
      </x:c>
      <x:c r="U6" s="331" t="n">
        <x:f>--ISNUMBER(SEARCH("启动命令、配置文件或路径说明缺失",N6))</x:f>
        <x:v>0</x:v>
      </x:c>
      <x:c r="V6" s="331" t="n">
        <x:f>--ISNUMBER(SEARCH("论文与代码的评测口径不清",N6))</x:f>
        <x:v>0</x:v>
      </x:c>
      <x:c r="W6" s="331" t="n">
        <x:f>--ISNUMBER(SEARCH("许可证或使用范围受到限制",N6))</x:f>
        <x:v>0</x:v>
      </x:c>
      <x:c r="X6" s="331" t="n">
        <x:f>--ISNUMBER(SEARCH("其他",N6))</x:f>
        <x:v>0</x:v>
      </x:c>
      <x:c r="Y6" s="352" t="str">
        <x:f>IF(X6&lt;&gt;1,"",IFERROR(TEXTBEFORE(TEXTAFTER(N6,"〖"),"〗"),"未说明"))</x:f>
      </x:c>
      <x:c r="Z6" s="334" t="n">
        <x:f>SUM(O6:X6)</x:f>
        <x:v>1</x:v>
      </x:c>
      <x:c r="AA6" s="334" t="n">
        <x:f>SUM(P6:X6)</x:f>
        <x:v>0</x:v>
      </x:c>
      <x:c r="AB6" s="334" t="n">
        <x:f>--(AA6&gt;0)</x:f>
        <x:v>0</x:v>
      </x:c>
      <x:c r="AC6" s="343" t="n">
        <x:f>--AND(O6=1,AA6&gt;0)</x:f>
        <x:v>0</x:v>
      </x:c>
      <x:c r="AD6" s="396" t="str">
        <x:v>GitHub Issue/Discussion┋阅读 README、文档或源码</x:v>
      </x:c>
      <x:c r="AE6" s="415" t="n">
        <x:f>--ISNUMBER(SEARCH("搜索引擎",AD6))</x:f>
        <x:v>0</x:v>
      </x:c>
      <x:c r="AF6" s="415" t="n">
        <x:f>--ISNUMBER(SEARCH("通用大模型或 AI 助手",AD6))</x:f>
        <x:v>0</x:v>
      </x:c>
      <x:c r="AG6" s="415" t="n">
        <x:f>--ISNUMBER(SEARCH("GitHub Issue/Discussion",AD6))</x:f>
        <x:v>1</x:v>
      </x:c>
      <x:c r="AH6" s="415" t="n">
        <x:f>--ISNUMBER(SEARCH("阅读 README、文档或源码",AD6))</x:f>
        <x:v>1</x:v>
      </x:c>
      <x:c r="AI6" s="415" t="n">
        <x:f>--ISNUMBER(SEARCH("复现博客、教程或视频",AD6))</x:f>
        <x:v>0</x:v>
      </x:c>
      <x:c r="AJ6" s="415" t="n">
        <x:f>--ISNUMBER(SEARCH("询问同学、同事或导师",AD6))</x:f>
        <x:v>0</x:v>
      </x:c>
      <x:c r="AK6" s="415" t="n">
        <x:f>--ISNUMBER(SEARCH("没有使用以上方式",AD6))</x:f>
        <x:v>0</x:v>
      </x:c>
      <x:c r="AL6" s="415" t="n">
        <x:f>--ISNUMBER(SEARCH("其他",AD6))</x:f>
        <x:v>0</x:v>
      </x:c>
      <x:c r="AM6" s="440" t="str">
        <x:f>IF(AL6&lt;&gt;1,"",IFERROR(TEXTBEFORE(TEXTAFTER(AD6,"〖"),"〗"),"未说明"))</x:f>
      </x:c>
      <x:c r="AN6" s="426" t="n">
        <x:f>SUM(AE6:AJ6)+AL6</x:f>
        <x:v>2</x:v>
      </x:c>
      <x:c r="AO6" s="426" t="n">
        <x:f>AN6+AK6</x:f>
        <x:v>2</x:v>
      </x:c>
      <x:c r="AP6" s="426" t="n">
        <x:f>--(AN6&gt;0)</x:f>
        <x:v>1</x:v>
      </x:c>
      <x:c r="AQ6" s="426" t="n">
        <x:f>--AND(AK6=1,AN6&gt;0)</x:f>
        <x:v>0</x:v>
      </x:c>
      <x:c r="AR6" s="496" t="str">
        <x:v>信息分散，需要反复查找和拼接┋相同问题得到的回答不稳定</x:v>
      </x:c>
      <x:c r="AS6" s="415" t="n">
        <x:f>--ISNUMBER(SEARCH("没有明显不足",AR6))</x:f>
        <x:v>0</x:v>
      </x:c>
      <x:c r="AT6" s="415" t="n">
        <x:f>--ISNUMBER(SEARCH("信息分散，需要反复查找和拼接",AR6))</x:f>
        <x:v>1</x:v>
      </x:c>
      <x:c r="AU6" s="415" t="n">
        <x:f>--ISNUMBER(SEARCH("结论缺少来源或证据，难以判断是否可信",AR6))</x:f>
        <x:v>0</x:v>
      </x:c>
      <x:c r="AV6" s="415" t="n">
        <x:f>--ISNUMBER(SEARCH("建议过于泛化，无法直接用于当前项目",AR6))</x:f>
        <x:v>0</x:v>
      </x:c>
      <x:c r="AW6" s="415" t="n">
        <x:f>--ISNUMBER(SEARCH("不了解我的硬件、系统或软件环境",AR6))</x:f>
        <x:v>0</x:v>
      </x:c>
      <x:c r="AX6" s="415" t="n">
        <x:f>--ISNUMBER(SEARCH("没有说明操作步骤的先后顺序",AR6))</x:f>
        <x:v>0</x:v>
      </x:c>
      <x:c r="AY6" s="415" t="n">
        <x:f>--ISNUMBER(SEARCH("对覆盖文件、删除文件等高风险操作缺少提醒",AR6))</x:f>
        <x:v>0</x:v>
      </x:c>
      <x:c r="AZ6" s="415" t="n">
        <x:f>--ISNUMBER(SEARCH("难以保存和延续此前的排错上下文",AR6))</x:f>
        <x:v>0</x:v>
      </x:c>
      <x:c r="BA6" s="415" t="n">
        <x:f>--ISNUMBER(SEARCH("相同问题得到的回答不稳定",AR6))</x:f>
        <x:v>1</x:v>
      </x:c>
      <x:c r="BB6" s="415" t="n">
        <x:f>--ISNUMBER(SEARCH("其他",AR6))</x:f>
        <x:v>0</x:v>
      </x:c>
      <x:c r="BC6" s="501" t="str">
        <x:f>IF(BB6=1,IFERROR(TEXTBEFORE(TEXTAFTER(AR6,"〖"),"〗"),"未说明"),"")</x:f>
      </x:c>
      <x:c r="BD6" s="426" t="n">
        <x:f>SUM(AT6:BB6)</x:f>
        <x:v>2</x:v>
      </x:c>
      <x:c r="BE6" s="426" t="n">
        <x:f>BD6+AS6</x:f>
        <x:v>2</x:v>
      </x:c>
      <x:c r="BF6" s="426" t="n">
        <x:f>--(BD6&gt;0)</x:f>
        <x:v>1</x:v>
      </x:c>
      <x:c r="BG6" s="426" t="n">
        <x:f>--AND(AS6=1,BD6&gt;0)</x:f>
        <x:v>0</x:v>
      </x:c>
      <x:c r="BH6" s="564" t="str">
        <x:v>数据集是否能够获得，以及是否需要申请权限┋论文与代码的评测指标和实验口径是否一致</x:v>
      </x:c>
      <x:c r="BI6" s="575" t="n">
        <x:f>--ISNUMBER(SEARCH("数据集是否能够获得，以及是否需要申请权限",BH6))</x:f>
        <x:v>1</x:v>
      </x:c>
      <x:c r="BJ6" s="575" t="n">
        <x:f>--ISNUMBER(SEARCH("是否提供可用的预训练权重",BH6))</x:f>
        <x:v>0</x:v>
      </x:c>
      <x:c r="BK6" s="575" t="n">
        <x:f>--ISNUMBER(SEARCH("Python、CUDA 和深度学习框架的版本要求",BH6))</x:f>
        <x:v>0</x:v>
      </x:c>
      <x:c r="BL6" s="575" t="n">
        <x:f>--ISNUMBER(SEARCH("所需显存、存储空间和预计运行时间",BH6))</x:f>
        <x:v>0</x:v>
      </x:c>
      <x:c r="BM6" s="575" t="n">
        <x:f>--ISNUMBER(SEARCH("启动命令、配置文件和关键路径是否完整",BH6))</x:f>
        <x:v>0</x:v>
      </x:c>
      <x:c r="BN6" s="575" t="n">
        <x:f>--ISNUMBER(SEARCH("论文与代码的评测指标和实验口径是否一致",BH6))</x:f>
        <x:v>1</x:v>
      </x:c>
      <x:c r="BO6" s="575" t="n">
        <x:f>--ISNUMBER(SEARCH("项目许可证和允许使用的范围",BH6))</x:f>
        <x:v>0</x:v>
      </x:c>
      <x:c r="BP6" s="575" t="n">
        <x:f>--ISNUMBER(SEARCH("可能导致复现失败的关键风险",BH6))</x:f>
        <x:v>0</x:v>
      </x:c>
      <x:c r="BQ6" s="575" t="n">
        <x:f>--ISNUMBER(SEARCH("当前情况下最适合执行的第一步",BH6))</x:f>
        <x:v>0</x:v>
      </x:c>
      <x:c r="BR6" s="575" t="n">
        <x:f>--ISNUMBER(SEARCH("其他",BH6))</x:f>
        <x:v>0</x:v>
      </x:c>
      <x:c r="BS6" s="575" t="str">
        <x:f>IF(BR6=1,IFERROR(TEXTBEFORE(TEXTAFTER(BH6,"〖"),"〗"),"未说明"),"")</x:f>
      </x:c>
      <x:c r="BT6" s="575" t="n">
        <x:f>SUM(BI6:BR6)</x:f>
        <x:v>2</x:v>
      </x:c>
      <x:c r="BU6" s="575" t="n">
        <x:f>--(BT6&gt;3)</x:f>
        <x:v>0</x:v>
      </x:c>
      <x:c r="BV6" s="609" t="str">
        <x:v>可直接执行</x:v>
      </x:c>
      <x:c r="BW6" s="614" t="n">
        <x:f>SWITCH(BV6,"可直接执行",1,"展示具体内容并经我确认后执行",2,"每一步都必须单独审批",3,"完全不允许",4,"未映射")</x:f>
        <x:v>1</x:v>
      </x:c>
      <x:c r="BX6" s="609" t="str">
        <x:v>可直接执行</x:v>
      </x:c>
      <x:c r="BY6" s="614" t="n">
        <x:f>SWITCH(BX6,"可直接执行",1,"展示具体内容并经我确认后执行",2,"每一步都必须单独审批",3,"完全不允许",4,"未映射")</x:f>
        <x:v>1</x:v>
      </x:c>
      <x:c r="BZ6" s="609" t="str">
        <x:v>每一步都必须单独审批</x:v>
      </x:c>
      <x:c r="CA6" s="614" t="n">
        <x:f>SWITCH(BZ6,"可直接执行",1,"展示具体内容并经我确认后执行",2,"每一步都必须单独审批",3,"完全不允许",4,"未映射")</x:f>
        <x:v>3</x:v>
      </x:c>
      <x:c r="CB6" s="609" t="str">
        <x:v>完全不允许</x:v>
      </x:c>
      <x:c r="CC6" s="614" t="n">
        <x:f>SWITCH(CB6,"可直接执行",1,"展示具体内容并经我确认后执行",2,"每一步都必须单独审批",3,"完全不允许",4,"未映射")</x:f>
        <x:v>4</x:v>
      </x:c>
      <x:c r="CD6" s="609" t="str">
        <x:v>完全不允许</x:v>
      </x:c>
      <x:c r="CE6" s="614" t="n">
        <x:f>SWITCH(CD6,"可直接执行",1,"展示具体内容并经我确认后执行",2,"每一步都必须单独审批",3,"完全不允许",4,"未映射")</x:f>
        <x:v>4</x:v>
      </x:c>
      <x:c r="CF6" s="609" t="str">
        <x:v>每一步都必须单独审批</x:v>
      </x:c>
      <x:c r="CG6" s="614" t="n">
        <x:f>SWITCH(CF6,"可直接执行",1,"展示具体内容并经我确认后执行",2,"每一步都必须单独审批",3,"完全不允许",4,"未映射")</x:f>
        <x:v>3</x:v>
      </x:c>
      <x:c r="CH6" s="639" t="n">
        <x:f>--AND(BY6&gt;=2,CC6&gt;=2,CE6&gt;=2)</x:f>
        <x:v>0</x:v>
      </x:c>
      <x:c r="CI6" s="679" t="str">
        <x:v>不会使用或分享这类报告</x:v>
      </x:c>
      <x:c r="CJ6" s="684" t="n">
        <x:f>--ISNUMBER(SEARCH("分享给导师或负责人",CI6))</x:f>
        <x:v>0</x:v>
      </x:c>
      <x:c r="CK6" s="684" t="n">
        <x:f>--ISNUMBER(SEARCH("分享给同学或同事",CI6))</x:f>
        <x:v>0</x:v>
      </x:c>
      <x:c r="CL6" s="684" t="n">
        <x:f>--ISNUMBER(SEARCH("分享给项目成员",CI6))</x:f>
        <x:v>0</x:v>
      </x:c>
      <x:c r="CM6" s="684" t="n">
        <x:f>--ISNUMBER(SEARCH("仅自己查看和留存",CI6))</x:f>
        <x:v>0</x:v>
      </x:c>
      <x:c r="CN6" s="684" t="n">
        <x:f>--ISNUMBER(SEARCH("不会使用或分享这类报告",CI6))</x:f>
        <x:v>1</x:v>
      </x:c>
      <x:c r="CO6" s="684" t="n">
        <x:f>--ISNUMBER(SEARCH("其他",CI6))</x:f>
        <x:v>0</x:v>
      </x:c>
      <x:c r="CP6" s="688" t="str">
        <x:f>IF(CO6=1,IFERROR(TEXTBEFORE(TEXTAFTER(CI6,"〖"),"〗"),"未说明"),"")</x:f>
      </x:c>
      <x:c r="CQ6" s="692" t="n">
        <x:f>SUM(CJ6:CO6)</x:f>
        <x:v>1</x:v>
      </x:c>
      <x:c r="CR6" s="692" t="n">
        <x:f>SUM(CJ6:CL6)</x:f>
        <x:v>0</x:v>
      </x:c>
      <x:c r="CS6" s="692" t="n">
        <x:f>--(CR6&gt;0)</x:f>
        <x:v>0</x:v>
      </x:c>
      <x:c r="CT6" s="692" t="n">
        <x:f>--AND(CN6=1,CQ6&gt;1)</x:f>
        <x:v>0</x:v>
      </x:c>
      <x:c r="CU6"/>
      <x:c r="CV6"/>
      <x:c r="CW6"/>
      <x:c r="CX6"/>
      <x:c r="CY6"/>
      <x:c r="CZ6"/>
      <x:c r="DA6"/>
      <x:c r="DB6"/>
      <x:c r="DC6"/>
      <x:c r="DD6"/>
      <x:c r="DE6"/>
      <x:c r="DF6"/>
      <x:c r="DG6"/>
      <x:c r="DI6"/>
      <x:c r="DJ6"/>
      <x:c r="EA6"/>
      <x:c r="EB6"/>
      <x:c r="EC6"/>
      <x:c r="ED6"/>
      <x:c r="EE6"/>
      <x:c r="EF6"/>
      <x:c r="EG6"/>
      <x:c r="EH6"/>
      <x:c r="EI6"/>
      <x:c r="EJ6"/>
      <x:c r="EK6"/>
      <x:c r="EL6"/>
      <x:c r="EM6"/>
      <x:c r="EN6"/>
      <x:c r="EO6"/>
      <x:c r="EP6"/>
      <x:c r="EQ6"/>
      <x:c r="ER6"/>
      <x:c r="ES6"/>
      <x:c r="ET6"/>
      <x:c r="EU6"/>
      <x:c r="EV6"/>
      <x:c r="EW6"/>
      <x:c r="EX6"/>
      <x:c r="EY6" t="n">
        <x:v>0</x:v>
      </x:c>
      <x:c r="EZ6"/>
      <x:c r="FA6"/>
      <x:c r="FB6" t="n">
        <x:v>0</x:v>
      </x:c>
      <x:c r="FC6"/>
      <x:c r="FD6" t="str">
        <x:v>运行训练、推理或测试</x:v>
      </x:c>
      <x:c r="FE6" t="str">
        <x:v>运行训练/推理/测试</x:v>
      </x:c>
      <x:c r="FF6"/>
      <x:c r="FG6" t="str">
        <x:v>本轮无人选择</x:v>
      </x:c>
      <x:c r="FH6" t="str">
        <x:f>IF(FH5=0,"本轮无人选择","详见DL10_其他说明")</x:f>
        <x:v>本轮无人选择</x:v>
      </x:c>
      <x:c r="FI6"/>
      <x:c r="FJ6"/>
      <x:c r="FK6" t="str">
        <x:v>否</x:v>
      </x:c>
      <x:c r="FL6"/>
      <x:c r="FM6"/>
      <x:c r="FN6" t="str">
        <x:v>数据集是否能够获得，以及是否需要申请权限┋论文与代码的评测指标和实验口径是否一致</x:v>
      </x:c>
      <x:c r="FO6" t="str">
        <x:v>与冻结问卷及V0.2.1一致</x:v>
      </x:c>
    </x:row>
    <x:row r="7" ht="38" customHeight="1">
      <x:c r="A7" s="37" t="str">
        <x:v>F-007</x:v>
      </x:c>
      <x:c r="B7" s="37" t="str">
        <x:v>有效核心样本</x:v>
      </x:c>
      <x:c r="C7" s="37" t="n">
        <x:v>1</x:v>
      </x:c>
      <x:c r="D7" s="34" t="str">
        <x:v>只跑通了部分流程</x:v>
      </x:c>
      <x:c r="E7" s="34" t="str">
        <x:v>超过 1 周</x:v>
      </x:c>
      <x:c r="F7" s="172" t="n">
        <x:v>7</x:v>
      </x:c>
      <x:c r="G7" s="43" t="str">
        <x:v>安装依赖并配置软件环境</x:v>
      </x:c>
      <x:c r="H7" s="174" t="str">
        <x:v>安装依赖并配置环境</x:v>
      </x:c>
      <x:c r="I7" s="176"/>
      <x:c r="J7" s="178"/>
      <x:c r="K7" s="227" t="str">
        <x:v>安装依赖并配置软件环境</x:v>
      </x:c>
      <x:c r="L7" s="256" t="str">
        <x:f>IF(LEFT(K7,2)="其他","其他",XLOOKUP(K7,tbl_q10_map[原始匹配值],tbl_q10_map[展示分类],"未映射"))</x:f>
        <x:v>未映射</x:v>
      </x:c>
      <x:c r="M7" s="262" t="str">
        <x:f>IF(L7&lt;&gt;"其他","",IFERROR(TEXTBEFORE(TEXTAFTER(K7,"〖"),"〗"),"未说明"))</x:f>
      </x:c>
      <x:c r="N7" s="304" t="str">
        <x:v>预训练权重缺失或与代码不兼容┋关键依赖包版本冲突，例如 NumPy、mmcv、transformers 等库之间不兼容</x:v>
      </x:c>
      <x:c r="O7" s="331" t="n">
        <x:f>--ISNUMBER(SEARCH("未遇到以上问题",N7))</x:f>
        <x:v>0</x:v>
      </x:c>
      <x:c r="P7" s="331" t="n">
        <x:f>--ISNUMBER(SEARCH("数据无法获得或缺少访问权限",N7))</x:f>
        <x:v>0</x:v>
      </x:c>
      <x:c r="Q7" s="331" t="n">
        <x:f>--ISNUMBER(SEARCH("预训练权重缺失或与代码不兼容",N7))</x:f>
        <x:v>1</x:v>
      </x:c>
      <x:c r="R7" s="331" t="n">
        <x:f>--ISNUMBER(SEARCH("Python、CUDA 或深度学习框架版本不匹配",N7))</x:f>
        <x:v>0</x:v>
      </x:c>
      <x:c r="S7" s="331" t="n">
        <x:f>--ISNUMBER(SEARCH("关键依赖包版本冲突",N7))</x:f>
        <x:v>1</x:v>
      </x:c>
      <x:c r="T7" s="331" t="n">
        <x:f>--ISNUMBER(SEARCH("显存、存储空间或预计运行时间不足",N7))</x:f>
        <x:v>0</x:v>
      </x:c>
      <x:c r="U7" s="331" t="n">
        <x:f>--ISNUMBER(SEARCH("启动命令、配置文件或路径说明缺失",N7))</x:f>
        <x:v>0</x:v>
      </x:c>
      <x:c r="V7" s="331" t="n">
        <x:f>--ISNUMBER(SEARCH("论文与代码的评测口径不清",N7))</x:f>
        <x:v>0</x:v>
      </x:c>
      <x:c r="W7" s="331" t="n">
        <x:f>--ISNUMBER(SEARCH("许可证或使用范围受到限制",N7))</x:f>
        <x:v>0</x:v>
      </x:c>
      <x:c r="X7" s="331" t="n">
        <x:f>--ISNUMBER(SEARCH("其他",N7))</x:f>
        <x:v>0</x:v>
      </x:c>
      <x:c r="Y7" s="352" t="str">
        <x:f>IF(X7&lt;&gt;1,"",IFERROR(TEXTBEFORE(TEXTAFTER(N7,"〖"),"〗"),"未说明"))</x:f>
      </x:c>
      <x:c r="Z7" s="334" t="n">
        <x:f>SUM(O7:X7)</x:f>
        <x:v>2</x:v>
      </x:c>
      <x:c r="AA7" s="334" t="n">
        <x:f>SUM(P7:X7)</x:f>
        <x:v>2</x:v>
      </x:c>
      <x:c r="AB7" s="334" t="n">
        <x:f>--(AA7&gt;0)</x:f>
        <x:v>1</x:v>
      </x:c>
      <x:c r="AC7" s="343" t="n">
        <x:f>--AND(O7=1,AA7&gt;0)</x:f>
        <x:v>0</x:v>
      </x:c>
      <x:c r="AD7" s="396" t="str">
        <x:v>GitHub Issue/Discussion</x:v>
      </x:c>
      <x:c r="AE7" s="415" t="n">
        <x:f>--ISNUMBER(SEARCH("搜索引擎",AD7))</x:f>
        <x:v>0</x:v>
      </x:c>
      <x:c r="AF7" s="415" t="n">
        <x:f>--ISNUMBER(SEARCH("通用大模型或 AI 助手",AD7))</x:f>
        <x:v>0</x:v>
      </x:c>
      <x:c r="AG7" s="415" t="n">
        <x:f>--ISNUMBER(SEARCH("GitHub Issue/Discussion",AD7))</x:f>
        <x:v>1</x:v>
      </x:c>
      <x:c r="AH7" s="415" t="n">
        <x:f>--ISNUMBER(SEARCH("阅读 README、文档或源码",AD7))</x:f>
        <x:v>0</x:v>
      </x:c>
      <x:c r="AI7" s="415" t="n">
        <x:f>--ISNUMBER(SEARCH("复现博客、教程或视频",AD7))</x:f>
        <x:v>0</x:v>
      </x:c>
      <x:c r="AJ7" s="415" t="n">
        <x:f>--ISNUMBER(SEARCH("询问同学、同事或导师",AD7))</x:f>
        <x:v>0</x:v>
      </x:c>
      <x:c r="AK7" s="415" t="n">
        <x:f>--ISNUMBER(SEARCH("没有使用以上方式",AD7))</x:f>
        <x:v>0</x:v>
      </x:c>
      <x:c r="AL7" s="415" t="n">
        <x:f>--ISNUMBER(SEARCH("其他",AD7))</x:f>
        <x:v>0</x:v>
      </x:c>
      <x:c r="AM7" s="440" t="str">
        <x:f>IF(AL7&lt;&gt;1,"",IFERROR(TEXTBEFORE(TEXTAFTER(AD7,"〖"),"〗"),"未说明"))</x:f>
      </x:c>
      <x:c r="AN7" s="426" t="n">
        <x:f>SUM(AE7:AJ7)+AL7</x:f>
        <x:v>1</x:v>
      </x:c>
      <x:c r="AO7" s="426" t="n">
        <x:f>AN7+AK7</x:f>
        <x:v>1</x:v>
      </x:c>
      <x:c r="AP7" s="426" t="n">
        <x:f>--(AN7&gt;0)</x:f>
        <x:v>1</x:v>
      </x:c>
      <x:c r="AQ7" s="426" t="n">
        <x:f>--AND(AK7=1,AN7&gt;0)</x:f>
        <x:v>0</x:v>
      </x:c>
      <x:c r="AR7" s="496" t="str">
        <x:v>没有说明操作步骤的先后顺序</x:v>
      </x:c>
      <x:c r="AS7" s="415" t="n">
        <x:f>--ISNUMBER(SEARCH("没有明显不足",AR7))</x:f>
        <x:v>0</x:v>
      </x:c>
      <x:c r="AT7" s="415" t="n">
        <x:f>--ISNUMBER(SEARCH("信息分散，需要反复查找和拼接",AR7))</x:f>
        <x:v>0</x:v>
      </x:c>
      <x:c r="AU7" s="415" t="n">
        <x:f>--ISNUMBER(SEARCH("结论缺少来源或证据，难以判断是否可信",AR7))</x:f>
        <x:v>0</x:v>
      </x:c>
      <x:c r="AV7" s="415" t="n">
        <x:f>--ISNUMBER(SEARCH("建议过于泛化，无法直接用于当前项目",AR7))</x:f>
        <x:v>0</x:v>
      </x:c>
      <x:c r="AW7" s="415" t="n">
        <x:f>--ISNUMBER(SEARCH("不了解我的硬件、系统或软件环境",AR7))</x:f>
        <x:v>0</x:v>
      </x:c>
      <x:c r="AX7" s="415" t="n">
        <x:f>--ISNUMBER(SEARCH("没有说明操作步骤的先后顺序",AR7))</x:f>
        <x:v>1</x:v>
      </x:c>
      <x:c r="AY7" s="415" t="n">
        <x:f>--ISNUMBER(SEARCH("对覆盖文件、删除文件等高风险操作缺少提醒",AR7))</x:f>
        <x:v>0</x:v>
      </x:c>
      <x:c r="AZ7" s="415" t="n">
        <x:f>--ISNUMBER(SEARCH("难以保存和延续此前的排错上下文",AR7))</x:f>
        <x:v>0</x:v>
      </x:c>
      <x:c r="BA7" s="415" t="n">
        <x:f>--ISNUMBER(SEARCH("相同问题得到的回答不稳定",AR7))</x:f>
        <x:v>0</x:v>
      </x:c>
      <x:c r="BB7" s="415" t="n">
        <x:f>--ISNUMBER(SEARCH("其他",AR7))</x:f>
        <x:v>0</x:v>
      </x:c>
      <x:c r="BC7" s="501" t="str">
        <x:f>IF(BB7=1,IFERROR(TEXTBEFORE(TEXTAFTER(AR7,"〖"),"〗"),"未说明"),"")</x:f>
      </x:c>
      <x:c r="BD7" s="426" t="n">
        <x:f>SUM(AT7:BB7)</x:f>
        <x:v>1</x:v>
      </x:c>
      <x:c r="BE7" s="426" t="n">
        <x:f>BD7+AS7</x:f>
        <x:v>1</x:v>
      </x:c>
      <x:c r="BF7" s="426" t="n">
        <x:f>--(BD7&gt;0)</x:f>
        <x:v>1</x:v>
      </x:c>
      <x:c r="BG7" s="426" t="n">
        <x:f>--AND(AS7=1,BD7&gt;0)</x:f>
        <x:v>0</x:v>
      </x:c>
      <x:c r="BH7" s="564" t="str">
        <x:v>是否提供可用的预训练权重</x:v>
      </x:c>
      <x:c r="BI7" s="575" t="n">
        <x:f>--ISNUMBER(SEARCH("数据集是否能够获得，以及是否需要申请权限",BH7))</x:f>
        <x:v>0</x:v>
      </x:c>
      <x:c r="BJ7" s="575" t="n">
        <x:f>--ISNUMBER(SEARCH("是否提供可用的预训练权重",BH7))</x:f>
        <x:v>1</x:v>
      </x:c>
      <x:c r="BK7" s="575" t="n">
        <x:f>--ISNUMBER(SEARCH("Python、CUDA 和深度学习框架的版本要求",BH7))</x:f>
        <x:v>0</x:v>
      </x:c>
      <x:c r="BL7" s="575" t="n">
        <x:f>--ISNUMBER(SEARCH("所需显存、存储空间和预计运行时间",BH7))</x:f>
        <x:v>0</x:v>
      </x:c>
      <x:c r="BM7" s="575" t="n">
        <x:f>--ISNUMBER(SEARCH("启动命令、配置文件和关键路径是否完整",BH7))</x:f>
        <x:v>0</x:v>
      </x:c>
      <x:c r="BN7" s="575" t="n">
        <x:f>--ISNUMBER(SEARCH("论文与代码的评测指标和实验口径是否一致",BH7))</x:f>
        <x:v>0</x:v>
      </x:c>
      <x:c r="BO7" s="575" t="n">
        <x:f>--ISNUMBER(SEARCH("项目许可证和允许使用的范围",BH7))</x:f>
        <x:v>0</x:v>
      </x:c>
      <x:c r="BP7" s="575" t="n">
        <x:f>--ISNUMBER(SEARCH("可能导致复现失败的关键风险",BH7))</x:f>
        <x:v>0</x:v>
      </x:c>
      <x:c r="BQ7" s="575" t="n">
        <x:f>--ISNUMBER(SEARCH("当前情况下最适合执行的第一步",BH7))</x:f>
        <x:v>0</x:v>
      </x:c>
      <x:c r="BR7" s="575" t="n">
        <x:f>--ISNUMBER(SEARCH("其他",BH7))</x:f>
        <x:v>0</x:v>
      </x:c>
      <x:c r="BS7" s="575" t="str">
        <x:f>IF(BR7=1,IFERROR(TEXTBEFORE(TEXTAFTER(BH7,"〖"),"〗"),"未说明"),"")</x:f>
      </x:c>
      <x:c r="BT7" s="575" t="n">
        <x:f>SUM(BI7:BR7)</x:f>
        <x:v>1</x:v>
      </x:c>
      <x:c r="BU7" s="575" t="n">
        <x:f>--(BT7&gt;3)</x:f>
        <x:v>0</x:v>
      </x:c>
      <x:c r="BV7" s="609" t="str">
        <x:v>可直接执行</x:v>
      </x:c>
      <x:c r="BW7" s="614" t="n">
        <x:f>SWITCH(BV7,"可直接执行",1,"展示具体内容并经我确认后执行",2,"每一步都必须单独审批",3,"完全不允许",4,"未映射")</x:f>
        <x:v>1</x:v>
      </x:c>
      <x:c r="BX7" s="609" t="str">
        <x:v>可直接执行</x:v>
      </x:c>
      <x:c r="BY7" s="614" t="n">
        <x:f>SWITCH(BX7,"可直接执行",1,"展示具体内容并经我确认后执行",2,"每一步都必须单独审批",3,"完全不允许",4,"未映射")</x:f>
        <x:v>1</x:v>
      </x:c>
      <x:c r="BZ7" s="609" t="str">
        <x:v>可直接执行</x:v>
      </x:c>
      <x:c r="CA7" s="614" t="n">
        <x:f>SWITCH(BZ7,"可直接执行",1,"展示具体内容并经我确认后执行",2,"每一步都必须单独审批",3,"完全不允许",4,"未映射")</x:f>
        <x:v>1</x:v>
      </x:c>
      <x:c r="CB7" s="609" t="str">
        <x:v>可直接执行</x:v>
      </x:c>
      <x:c r="CC7" s="614" t="n">
        <x:f>SWITCH(CB7,"可直接执行",1,"展示具体内容并经我确认后执行",2,"每一步都必须单独审批",3,"完全不允许",4,"未映射")</x:f>
        <x:v>1</x:v>
      </x:c>
      <x:c r="CD7" s="609" t="str">
        <x:v>可直接执行</x:v>
      </x:c>
      <x:c r="CE7" s="614" t="n">
        <x:f>SWITCH(CD7,"可直接执行",1,"展示具体内容并经我确认后执行",2,"每一步都必须单独审批",3,"完全不允许",4,"未映射")</x:f>
        <x:v>1</x:v>
      </x:c>
      <x:c r="CF7" s="609" t="str">
        <x:v>可直接执行</x:v>
      </x:c>
      <x:c r="CG7" s="614" t="n">
        <x:f>SWITCH(CF7,"可直接执行",1,"展示具体内容并经我确认后执行",2,"每一步都必须单独审批",3,"完全不允许",4,"未映射")</x:f>
        <x:v>1</x:v>
      </x:c>
      <x:c r="CH7" s="639" t="n">
        <x:f>--AND(BY7&gt;=2,CC7&gt;=2,CE7&gt;=2)</x:f>
        <x:v>0</x:v>
      </x:c>
      <x:c r="CI7" s="679" t="str">
        <x:v>分享给导师或负责人，用于确认是否值得继续投入</x:v>
      </x:c>
      <x:c r="CJ7" s="684" t="n">
        <x:f>--ISNUMBER(SEARCH("分享给导师或负责人",CI7))</x:f>
        <x:v>1</x:v>
      </x:c>
      <x:c r="CK7" s="684" t="n">
        <x:f>--ISNUMBER(SEARCH("分享给同学或同事",CI7))</x:f>
        <x:v>0</x:v>
      </x:c>
      <x:c r="CL7" s="684" t="n">
        <x:f>--ISNUMBER(SEARCH("分享给项目成员",CI7))</x:f>
        <x:v>0</x:v>
      </x:c>
      <x:c r="CM7" s="684" t="n">
        <x:f>--ISNUMBER(SEARCH("仅自己查看和留存",CI7))</x:f>
        <x:v>0</x:v>
      </x:c>
      <x:c r="CN7" s="684" t="n">
        <x:f>--ISNUMBER(SEARCH("不会使用或分享这类报告",CI7))</x:f>
        <x:v>0</x:v>
      </x:c>
      <x:c r="CO7" s="684" t="n">
        <x:f>--ISNUMBER(SEARCH("其他",CI7))</x:f>
        <x:v>0</x:v>
      </x:c>
      <x:c r="CP7" s="688" t="str">
        <x:f>IF(CO7=1,IFERROR(TEXTBEFORE(TEXTAFTER(CI7,"〖"),"〗"),"未说明"),"")</x:f>
      </x:c>
      <x:c r="CQ7" s="692" t="n">
        <x:f>SUM(CJ7:CO7)</x:f>
        <x:v>1</x:v>
      </x:c>
      <x:c r="CR7" s="692" t="n">
        <x:f>SUM(CJ7:CL7)</x:f>
        <x:v>1</x:v>
      </x:c>
      <x:c r="CS7" s="692" t="n">
        <x:f>--(CR7&gt;0)</x:f>
        <x:v>1</x:v>
      </x:c>
      <x:c r="CT7" s="692" t="n">
        <x:f>--AND(CN7=1,CQ7&gt;1)</x:f>
        <x:v>0</x:v>
      </x:c>
      <x:c r="CU7"/>
      <x:c r="CV7"/>
      <x:c r="CW7"/>
      <x:c r="CX7"/>
      <x:c r="CY7"/>
      <x:c r="CZ7"/>
      <x:c r="DA7"/>
      <x:c r="DB7"/>
      <x:c r="DC7"/>
      <x:c r="DD7"/>
      <x:c r="DE7"/>
      <x:c r="DF7"/>
      <x:c r="DG7"/>
      <x:c r="DI7"/>
      <x:c r="DJ7"/>
      <x:c r="EA7"/>
      <x:c r="EB7"/>
      <x:c r="EC7"/>
      <x:c r="ED7"/>
      <x:c r="EE7"/>
      <x:c r="EF7"/>
      <x:c r="EG7"/>
      <x:c r="EH7"/>
      <x:c r="EI7"/>
      <x:c r="EJ7"/>
      <x:c r="EK7"/>
      <x:c r="EL7"/>
      <x:c r="EM7"/>
      <x:c r="EN7"/>
      <x:c r="EO7"/>
      <x:c r="EP7"/>
      <x:c r="EQ7"/>
      <x:c r="ER7"/>
      <x:c r="ES7"/>
      <x:c r="ET7"/>
      <x:c r="EU7"/>
      <x:c r="EV7"/>
      <x:c r="EW7"/>
      <x:c r="EX7"/>
      <x:c r="EY7" t="n">
        <x:v>19</x:v>
      </x:c>
      <x:c r="EZ7"/>
      <x:c r="FA7"/>
      <x:c r="FB7"/>
      <x:c r="FC7"/>
      <x:c r="FD7" t="str">
        <x:v>排查并解决运行错误</x:v>
      </x:c>
      <x:c r="FE7" t="str">
        <x:v>排查运行错误</x:v>
      </x:c>
      <x:c r="FF7"/>
      <x:c r="FG7"/>
      <x:c r="FH7"/>
      <x:c r="FI7"/>
      <x:c r="FJ7"/>
      <x:c r="FK7" t="str">
        <x:v>否</x:v>
      </x:c>
      <x:c r="FL7"/>
      <x:c r="FM7"/>
      <x:c r="FN7" t="str">
        <x:v>数据集是否能够获得，以及是否需要申请权限┋是否提供可用的预训练权重┋启动命令、配置文件和关键路径是否完整</x:v>
      </x:c>
      <x:c r="FO7" t="str">
        <x:v>与冻结问卷及V0.2.1一致</x:v>
      </x:c>
    </x:row>
    <x:row r="8" ht="38" customHeight="1">
      <x:c r="A8" s="37" t="str">
        <x:v>F-008</x:v>
      </x:c>
      <x:c r="B8" s="37" t="str">
        <x:v>有效核心样本</x:v>
      </x:c>
      <x:c r="C8" s="37" t="n">
        <x:v>1</x:v>
      </x:c>
      <x:c r="D8" s="34" t="str">
        <x:v>完整跑通，并达到接近目标的结果</x:v>
      </x:c>
      <x:c r="E8" s="34" t="str">
        <x:v>超过 1 周</x:v>
      </x:c>
      <x:c r="F8" s="172" t="n">
        <x:v>7</x:v>
      </x:c>
      <x:c r="G8" s="43" t="str">
        <x:v>排查并解决运行错误</x:v>
      </x:c>
      <x:c r="H8" s="174" t="str">
        <x:v>排查运行错误</x:v>
      </x:c>
      <x:c r="I8" s="176"/>
      <x:c r="J8" s="178"/>
      <x:c r="K8" s="227" t="str">
        <x:v>排查并解决运行错误</x:v>
      </x:c>
      <x:c r="L8" s="256" t="str">
        <x:f>IF(LEFT(K8,2)="其他","其他",XLOOKUP(K8,tbl_q10_map[原始匹配值],tbl_q10_map[展示分类],"未映射"))</x:f>
        <x:v>未映射</x:v>
      </x:c>
      <x:c r="M8" s="262" t="str">
        <x:f>IF(L8&lt;&gt;"其他","",IFERROR(TEXTBEFORE(TEXTAFTER(K8,"〖"),"〗"),"未说明"))</x:f>
      </x:c>
      <x:c r="N8" s="304" t="str">
        <x:v>论文与代码的评测口径不清</x:v>
      </x:c>
      <x:c r="O8" s="331" t="n">
        <x:f>--ISNUMBER(SEARCH("未遇到以上问题",N8))</x:f>
        <x:v>0</x:v>
      </x:c>
      <x:c r="P8" s="331" t="n">
        <x:f>--ISNUMBER(SEARCH("数据无法获得或缺少访问权限",N8))</x:f>
        <x:v>0</x:v>
      </x:c>
      <x:c r="Q8" s="331" t="n">
        <x:f>--ISNUMBER(SEARCH("预训练权重缺失或与代码不兼容",N8))</x:f>
        <x:v>0</x:v>
      </x:c>
      <x:c r="R8" s="331" t="n">
        <x:f>--ISNUMBER(SEARCH("Python、CUDA 或深度学习框架版本不匹配",N8))</x:f>
        <x:v>0</x:v>
      </x:c>
      <x:c r="S8" s="331" t="n">
        <x:f>--ISNUMBER(SEARCH("关键依赖包版本冲突",N8))</x:f>
        <x:v>0</x:v>
      </x:c>
      <x:c r="T8" s="331" t="n">
        <x:f>--ISNUMBER(SEARCH("显存、存储空间或预计运行时间不足",N8))</x:f>
        <x:v>0</x:v>
      </x:c>
      <x:c r="U8" s="331" t="n">
        <x:f>--ISNUMBER(SEARCH("启动命令、配置文件或路径说明缺失",N8))</x:f>
        <x:v>0</x:v>
      </x:c>
      <x:c r="V8" s="331" t="n">
        <x:f>--ISNUMBER(SEARCH("论文与代码的评测口径不清",N8))</x:f>
        <x:v>1</x:v>
      </x:c>
      <x:c r="W8" s="331" t="n">
        <x:f>--ISNUMBER(SEARCH("许可证或使用范围受到限制",N8))</x:f>
        <x:v>0</x:v>
      </x:c>
      <x:c r="X8" s="331" t="n">
        <x:f>--ISNUMBER(SEARCH("其他",N8))</x:f>
        <x:v>0</x:v>
      </x:c>
      <x:c r="Y8" s="352" t="str">
        <x:f>IF(X8&lt;&gt;1,"",IFERROR(TEXTBEFORE(TEXTAFTER(N8,"〖"),"〗"),"未说明"))</x:f>
      </x:c>
      <x:c r="Z8" s="334" t="n">
        <x:f>SUM(O8:X8)</x:f>
        <x:v>1</x:v>
      </x:c>
      <x:c r="AA8" s="334" t="n">
        <x:f>SUM(P8:X8)</x:f>
        <x:v>1</x:v>
      </x:c>
      <x:c r="AB8" s="334" t="n">
        <x:f>--(AA8&gt;0)</x:f>
        <x:v>1</x:v>
      </x:c>
      <x:c r="AC8" s="343" t="n">
        <x:f>--AND(O8=1,AA8&gt;0)</x:f>
        <x:v>0</x:v>
      </x:c>
      <x:c r="AD8" s="396" t="str">
        <x:v>通用大模型或 AI 助手</x:v>
      </x:c>
      <x:c r="AE8" s="415" t="n">
        <x:f>--ISNUMBER(SEARCH("搜索引擎",AD8))</x:f>
        <x:v>0</x:v>
      </x:c>
      <x:c r="AF8" s="415" t="n">
        <x:f>--ISNUMBER(SEARCH("通用大模型或 AI 助手",AD8))</x:f>
        <x:v>1</x:v>
      </x:c>
      <x:c r="AG8" s="415" t="n">
        <x:f>--ISNUMBER(SEARCH("GitHub Issue/Discussion",AD8))</x:f>
        <x:v>0</x:v>
      </x:c>
      <x:c r="AH8" s="415" t="n">
        <x:f>--ISNUMBER(SEARCH("阅读 README、文档或源码",AD8))</x:f>
        <x:v>0</x:v>
      </x:c>
      <x:c r="AI8" s="415" t="n">
        <x:f>--ISNUMBER(SEARCH("复现博客、教程或视频",AD8))</x:f>
        <x:v>0</x:v>
      </x:c>
      <x:c r="AJ8" s="415" t="n">
        <x:f>--ISNUMBER(SEARCH("询问同学、同事或导师",AD8))</x:f>
        <x:v>0</x:v>
      </x:c>
      <x:c r="AK8" s="415" t="n">
        <x:f>--ISNUMBER(SEARCH("没有使用以上方式",AD8))</x:f>
        <x:v>0</x:v>
      </x:c>
      <x:c r="AL8" s="415" t="n">
        <x:f>--ISNUMBER(SEARCH("其他",AD8))</x:f>
        <x:v>0</x:v>
      </x:c>
      <x:c r="AM8" s="440" t="str">
        <x:f>IF(AL8&lt;&gt;1,"",IFERROR(TEXTBEFORE(TEXTAFTER(AD8,"〖"),"〗"),"未说明"))</x:f>
      </x:c>
      <x:c r="AN8" s="426" t="n">
        <x:f>SUM(AE8:AJ8)+AL8</x:f>
        <x:v>1</x:v>
      </x:c>
      <x:c r="AO8" s="426" t="n">
        <x:f>AN8+AK8</x:f>
        <x:v>1</x:v>
      </x:c>
      <x:c r="AP8" s="426" t="n">
        <x:f>--(AN8&gt;0)</x:f>
        <x:v>1</x:v>
      </x:c>
      <x:c r="AQ8" s="426" t="n">
        <x:f>--AND(AK8=1,AN8&gt;0)</x:f>
        <x:v>0</x:v>
      </x:c>
      <x:c r="AR8" s="496" t="str">
        <x:v>信息分散，需要反复查找和拼接</x:v>
      </x:c>
      <x:c r="AS8" s="415" t="n">
        <x:f>--ISNUMBER(SEARCH("没有明显不足",AR8))</x:f>
        <x:v>0</x:v>
      </x:c>
      <x:c r="AT8" s="415" t="n">
        <x:f>--ISNUMBER(SEARCH("信息分散，需要反复查找和拼接",AR8))</x:f>
        <x:v>1</x:v>
      </x:c>
      <x:c r="AU8" s="415" t="n">
        <x:f>--ISNUMBER(SEARCH("结论缺少来源或证据，难以判断是否可信",AR8))</x:f>
        <x:v>0</x:v>
      </x:c>
      <x:c r="AV8" s="415" t="n">
        <x:f>--ISNUMBER(SEARCH("建议过于泛化，无法直接用于当前项目",AR8))</x:f>
        <x:v>0</x:v>
      </x:c>
      <x:c r="AW8" s="415" t="n">
        <x:f>--ISNUMBER(SEARCH("不了解我的硬件、系统或软件环境",AR8))</x:f>
        <x:v>0</x:v>
      </x:c>
      <x:c r="AX8" s="415" t="n">
        <x:f>--ISNUMBER(SEARCH("没有说明操作步骤的先后顺序",AR8))</x:f>
        <x:v>0</x:v>
      </x:c>
      <x:c r="AY8" s="415" t="n">
        <x:f>--ISNUMBER(SEARCH("对覆盖文件、删除文件等高风险操作缺少提醒",AR8))</x:f>
        <x:v>0</x:v>
      </x:c>
      <x:c r="AZ8" s="415" t="n">
        <x:f>--ISNUMBER(SEARCH("难以保存和延续此前的排错上下文",AR8))</x:f>
        <x:v>0</x:v>
      </x:c>
      <x:c r="BA8" s="415" t="n">
        <x:f>--ISNUMBER(SEARCH("相同问题得到的回答不稳定",AR8))</x:f>
        <x:v>0</x:v>
      </x:c>
      <x:c r="BB8" s="415" t="n">
        <x:f>--ISNUMBER(SEARCH("其他",AR8))</x:f>
        <x:v>0</x:v>
      </x:c>
      <x:c r="BC8" s="501" t="str">
        <x:f>IF(BB8=1,IFERROR(TEXTBEFORE(TEXTAFTER(AR8,"〖"),"〗"),"未说明"),"")</x:f>
      </x:c>
      <x:c r="BD8" s="426" t="n">
        <x:f>SUM(AT8:BB8)</x:f>
        <x:v>1</x:v>
      </x:c>
      <x:c r="BE8" s="426" t="n">
        <x:f>BD8+AS8</x:f>
        <x:v>1</x:v>
      </x:c>
      <x:c r="BF8" s="426" t="n">
        <x:f>--(BD8&gt;0)</x:f>
        <x:v>1</x:v>
      </x:c>
      <x:c r="BG8" s="426" t="n">
        <x:f>--AND(AS8=1,BD8&gt;0)</x:f>
        <x:v>0</x:v>
      </x:c>
      <x:c r="BH8" s="564" t="str">
        <x:v>数据集是否能够获得，以及是否需要申请权限┋项目许可证和允许使用的范围</x:v>
      </x:c>
      <x:c r="BI8" s="575" t="n">
        <x:f>--ISNUMBER(SEARCH("数据集是否能够获得，以及是否需要申请权限",BH8))</x:f>
        <x:v>1</x:v>
      </x:c>
      <x:c r="BJ8" s="575" t="n">
        <x:f>--ISNUMBER(SEARCH("是否提供可用的预训练权重",BH8))</x:f>
        <x:v>0</x:v>
      </x:c>
      <x:c r="BK8" s="575" t="n">
        <x:f>--ISNUMBER(SEARCH("Python、CUDA 和深度学习框架的版本要求",BH8))</x:f>
        <x:v>0</x:v>
      </x:c>
      <x:c r="BL8" s="575" t="n">
        <x:f>--ISNUMBER(SEARCH("所需显存、存储空间和预计运行时间",BH8))</x:f>
        <x:v>0</x:v>
      </x:c>
      <x:c r="BM8" s="575" t="n">
        <x:f>--ISNUMBER(SEARCH("启动命令、配置文件和关键路径是否完整",BH8))</x:f>
        <x:v>0</x:v>
      </x:c>
      <x:c r="BN8" s="575" t="n">
        <x:f>--ISNUMBER(SEARCH("论文与代码的评测指标和实验口径是否一致",BH8))</x:f>
        <x:v>0</x:v>
      </x:c>
      <x:c r="BO8" s="575" t="n">
        <x:f>--ISNUMBER(SEARCH("项目许可证和允许使用的范围",BH8))</x:f>
        <x:v>1</x:v>
      </x:c>
      <x:c r="BP8" s="575" t="n">
        <x:f>--ISNUMBER(SEARCH("可能导致复现失败的关键风险",BH8))</x:f>
        <x:v>0</x:v>
      </x:c>
      <x:c r="BQ8" s="575" t="n">
        <x:f>--ISNUMBER(SEARCH("当前情况下最适合执行的第一步",BH8))</x:f>
        <x:v>0</x:v>
      </x:c>
      <x:c r="BR8" s="575" t="n">
        <x:f>--ISNUMBER(SEARCH("其他",BH8))</x:f>
        <x:v>0</x:v>
      </x:c>
      <x:c r="BS8" s="575" t="str">
        <x:f>IF(BR8=1,IFERROR(TEXTBEFORE(TEXTAFTER(BH8,"〖"),"〗"),"未说明"),"")</x:f>
      </x:c>
      <x:c r="BT8" s="575" t="n">
        <x:f>SUM(BI8:BR8)</x:f>
        <x:v>2</x:v>
      </x:c>
      <x:c r="BU8" s="575" t="n">
        <x:f>--(BT8&gt;3)</x:f>
        <x:v>0</x:v>
      </x:c>
      <x:c r="BV8" s="609" t="str">
        <x:v>可直接执行</x:v>
      </x:c>
      <x:c r="BW8" s="614" t="n">
        <x:f>SWITCH(BV8,"可直接执行",1,"展示具体内容并经我确认后执行",2,"每一步都必须单独审批",3,"完全不允许",4,"未映射")</x:f>
        <x:v>1</x:v>
      </x:c>
      <x:c r="BX8" s="609" t="str">
        <x:v>可直接执行</x:v>
      </x:c>
      <x:c r="BY8" s="614" t="n">
        <x:f>SWITCH(BX8,"可直接执行",1,"展示具体内容并经我确认后执行",2,"每一步都必须单独审批",3,"完全不允许",4,"未映射")</x:f>
        <x:v>1</x:v>
      </x:c>
      <x:c r="BZ8" s="609" t="str">
        <x:v>可直接执行</x:v>
      </x:c>
      <x:c r="CA8" s="614" t="n">
        <x:f>SWITCH(BZ8,"可直接执行",1,"展示具体内容并经我确认后执行",2,"每一步都必须单独审批",3,"完全不允许",4,"未映射")</x:f>
        <x:v>1</x:v>
      </x:c>
      <x:c r="CB8" s="609" t="str">
        <x:v>展示具体内容并经我确认后执行</x:v>
      </x:c>
      <x:c r="CC8" s="614" t="n">
        <x:f>SWITCH(CB8,"可直接执行",1,"展示具体内容并经我确认后执行",2,"每一步都必须单独审批",3,"完全不允许",4,"未映射")</x:f>
        <x:v>2</x:v>
      </x:c>
      <x:c r="CD8" s="609" t="str">
        <x:v>展示具体内容并经我确认后执行</x:v>
      </x:c>
      <x:c r="CE8" s="614" t="n">
        <x:f>SWITCH(CD8,"可直接执行",1,"展示具体内容并经我确认后执行",2,"每一步都必须单独审批",3,"完全不允许",4,"未映射")</x:f>
        <x:v>2</x:v>
      </x:c>
      <x:c r="CF8" s="609" t="str">
        <x:v>展示具体内容并经我确认后执行</x:v>
      </x:c>
      <x:c r="CG8" s="614" t="n">
        <x:f>SWITCH(CF8,"可直接执行",1,"展示具体内容并经我确认后执行",2,"每一步都必须单独审批",3,"完全不允许",4,"未映射")</x:f>
        <x:v>2</x:v>
      </x:c>
      <x:c r="CH8" s="639" t="n">
        <x:f>--AND(BY8&gt;=2,CC8&gt;=2,CE8&gt;=2)</x:f>
        <x:v>0</x:v>
      </x:c>
      <x:c r="CI8" s="679" t="str">
        <x:v>分享给导师或负责人，用于确认是否值得继续投入┋分享给同学或同事，请对方协助处理具体问题</x:v>
      </x:c>
      <x:c r="CJ8" s="684" t="n">
        <x:f>--ISNUMBER(SEARCH("分享给导师或负责人",CI8))</x:f>
        <x:v>1</x:v>
      </x:c>
      <x:c r="CK8" s="684" t="n">
        <x:f>--ISNUMBER(SEARCH("分享给同学或同事",CI8))</x:f>
        <x:v>1</x:v>
      </x:c>
      <x:c r="CL8" s="684" t="n">
        <x:f>--ISNUMBER(SEARCH("分享给项目成员",CI8))</x:f>
        <x:v>0</x:v>
      </x:c>
      <x:c r="CM8" s="684" t="n">
        <x:f>--ISNUMBER(SEARCH("仅自己查看和留存",CI8))</x:f>
        <x:v>0</x:v>
      </x:c>
      <x:c r="CN8" s="684" t="n">
        <x:f>--ISNUMBER(SEARCH("不会使用或分享这类报告",CI8))</x:f>
        <x:v>0</x:v>
      </x:c>
      <x:c r="CO8" s="684" t="n">
        <x:f>--ISNUMBER(SEARCH("其他",CI8))</x:f>
        <x:v>0</x:v>
      </x:c>
      <x:c r="CP8" s="688" t="str">
        <x:f>IF(CO8=1,IFERROR(TEXTBEFORE(TEXTAFTER(CI8,"〖"),"〗"),"未说明"),"")</x:f>
      </x:c>
      <x:c r="CQ8" s="692" t="n">
        <x:f>SUM(CJ8:CO8)</x:f>
        <x:v>2</x:v>
      </x:c>
      <x:c r="CR8" s="692" t="n">
        <x:f>SUM(CJ8:CL8)</x:f>
        <x:v>2</x:v>
      </x:c>
      <x:c r="CS8" s="692" t="n">
        <x:f>--(CR8&gt;0)</x:f>
        <x:v>1</x:v>
      </x:c>
      <x:c r="CT8" s="692" t="n">
        <x:f>--AND(CN8=1,CQ8&gt;1)</x:f>
        <x:v>0</x:v>
      </x:c>
      <x:c r="CU8"/>
      <x:c r="CV8"/>
      <x:c r="CW8"/>
      <x:c r="CX8"/>
      <x:c r="CY8"/>
      <x:c r="CZ8"/>
      <x:c r="DA8"/>
      <x:c r="DB8"/>
      <x:c r="DC8"/>
      <x:c r="DD8"/>
      <x:c r="DE8"/>
      <x:c r="DF8"/>
      <x:c r="DG8"/>
      <x:c r="DI8"/>
      <x:c r="DJ8"/>
      <x:c r="EA8"/>
      <x:c r="EB8"/>
      <x:c r="EC8"/>
      <x:c r="ED8"/>
      <x:c r="EE8"/>
      <x:c r="EF8"/>
      <x:c r="EG8"/>
      <x:c r="EH8"/>
      <x:c r="EI8"/>
      <x:c r="EJ8"/>
      <x:c r="EK8"/>
      <x:c r="EL8"/>
      <x:c r="EM8"/>
      <x:c r="EN8"/>
      <x:c r="EO8"/>
      <x:c r="EP8"/>
      <x:c r="EQ8"/>
      <x:c r="ER8"/>
      <x:c r="ES8"/>
      <x:c r="ET8"/>
      <x:c r="EU8"/>
      <x:c r="EV8"/>
      <x:c r="EW8"/>
      <x:c r="EX8"/>
      <x:c r="EY8" t="n">
        <x:v>1</x:v>
      </x:c>
      <x:c r="EZ8"/>
      <x:c r="FA8"/>
      <x:c r="FB8" t="n">
        <x:v>0</x:v>
      </x:c>
      <x:c r="FC8"/>
      <x:c r="FD8" t="str">
        <x:v>计算评测指标并对齐实验结果</x:v>
      </x:c>
      <x:c r="FE8" t="str">
        <x:v>计算指标并对齐结果</x:v>
      </x:c>
      <x:c r="FF8"/>
      <x:c r="FG8"/>
      <x:c r="FH8"/>
      <x:c r="FI8"/>
      <x:c r="FJ8"/>
      <x:c r="FK8" t="str">
        <x:v>否</x:v>
      </x:c>
      <x:c r="FL8"/>
      <x:c r="FM8"/>
      <x:c r="FN8" t="str">
        <x:v>数据集是否能够获得，以及是否需要申请权限┋是否提供可用的预训练权重┋Python、CUDA 和深度学习框架的版本要求</x:v>
      </x:c>
      <x:c r="FO8" t="str">
        <x:v>与冻结问卷及V0.2.1一致</x:v>
      </x:c>
    </x:row>
    <x:row r="9" ht="38" customHeight="1">
      <x:c r="A9" s="37" t="str">
        <x:v>F-009</x:v>
      </x:c>
      <x:c r="B9" s="37" t="str">
        <x:v>有效核心样本</x:v>
      </x:c>
      <x:c r="C9" s="37" t="n">
        <x:v>1</x:v>
      </x:c>
      <x:c r="D9" s="34" t="str">
        <x:v>已跑通，但结果与论文或项目说明明显不一致</x:v>
      </x:c>
      <x:c r="E9" s="34" t="str">
        <x:v>1—3 天</x:v>
      </x:c>
      <x:c r="F9" s="172" t="n">
        <x:v>5</x:v>
      </x:c>
      <x:c r="G9" s="43" t="str">
        <x:v>安装依赖并配置软件环境</x:v>
      </x:c>
      <x:c r="H9" s="174" t="str">
        <x:v>安装依赖并配置环境</x:v>
      </x:c>
      <x:c r="I9" s="176"/>
      <x:c r="J9" s="178"/>
      <x:c r="K9" s="227" t="str">
        <x:v>排查并解决运行错误</x:v>
      </x:c>
      <x:c r="L9" s="256" t="str">
        <x:f>IF(LEFT(K9,2)="其他","其他",XLOOKUP(K9,tbl_q10_map[原始匹配值],tbl_q10_map[展示分类],"未映射"))</x:f>
        <x:v>未映射</x:v>
      </x:c>
      <x:c r="M9" s="262" t="str">
        <x:f>IF(L9&lt;&gt;"其他","",IFERROR(TEXTBEFORE(TEXTAFTER(K9,"〖"),"〗"),"未说明"))</x:f>
      </x:c>
      <x:c r="N9" s="304" t="str">
        <x:v>Python、CUDA 或深度学习框架版本不匹配┋关键依赖包版本冲突，例如 NumPy、mmcv、transformers 等库之间不兼容</x:v>
      </x:c>
      <x:c r="O9" s="331" t="n">
        <x:f>--ISNUMBER(SEARCH("未遇到以上问题",N9))</x:f>
        <x:v>0</x:v>
      </x:c>
      <x:c r="P9" s="331" t="n">
        <x:f>--ISNUMBER(SEARCH("数据无法获得或缺少访问权限",N9))</x:f>
        <x:v>0</x:v>
      </x:c>
      <x:c r="Q9" s="331" t="n">
        <x:f>--ISNUMBER(SEARCH("预训练权重缺失或与代码不兼容",N9))</x:f>
        <x:v>0</x:v>
      </x:c>
      <x:c r="R9" s="331" t="n">
        <x:f>--ISNUMBER(SEARCH("Python、CUDA 或深度学习框架版本不匹配",N9))</x:f>
        <x:v>1</x:v>
      </x:c>
      <x:c r="S9" s="331" t="n">
        <x:f>--ISNUMBER(SEARCH("关键依赖包版本冲突",N9))</x:f>
        <x:v>1</x:v>
      </x:c>
      <x:c r="T9" s="331" t="n">
        <x:f>--ISNUMBER(SEARCH("显存、存储空间或预计运行时间不足",N9))</x:f>
        <x:v>0</x:v>
      </x:c>
      <x:c r="U9" s="331" t="n">
        <x:f>--ISNUMBER(SEARCH("启动命令、配置文件或路径说明缺失",N9))</x:f>
        <x:v>0</x:v>
      </x:c>
      <x:c r="V9" s="331" t="n">
        <x:f>--ISNUMBER(SEARCH("论文与代码的评测口径不清",N9))</x:f>
        <x:v>0</x:v>
      </x:c>
      <x:c r="W9" s="331" t="n">
        <x:f>--ISNUMBER(SEARCH("许可证或使用范围受到限制",N9))</x:f>
        <x:v>0</x:v>
      </x:c>
      <x:c r="X9" s="331" t="n">
        <x:f>--ISNUMBER(SEARCH("其他",N9))</x:f>
        <x:v>0</x:v>
      </x:c>
      <x:c r="Y9" s="352" t="str">
        <x:f>IF(X9&lt;&gt;1,"",IFERROR(TEXTBEFORE(TEXTAFTER(N9,"〖"),"〗"),"未说明"))</x:f>
      </x:c>
      <x:c r="Z9" s="334" t="n">
        <x:f>SUM(O9:X9)</x:f>
        <x:v>2</x:v>
      </x:c>
      <x:c r="AA9" s="334" t="n">
        <x:f>SUM(P9:X9)</x:f>
        <x:v>2</x:v>
      </x:c>
      <x:c r="AB9" s="334" t="n">
        <x:f>--(AA9&gt;0)</x:f>
        <x:v>1</x:v>
      </x:c>
      <x:c r="AC9" s="343" t="n">
        <x:f>--AND(O9=1,AA9&gt;0)</x:f>
        <x:v>0</x:v>
      </x:c>
      <x:c r="AD9" s="396" t="str">
        <x:v>通用大模型或 AI 助手┋GitHub Issue/Discussion┋复现博客、教程或视频</x:v>
      </x:c>
      <x:c r="AE9" s="415" t="n">
        <x:f>--ISNUMBER(SEARCH("搜索引擎",AD9))</x:f>
        <x:v>0</x:v>
      </x:c>
      <x:c r="AF9" s="415" t="n">
        <x:f>--ISNUMBER(SEARCH("通用大模型或 AI 助手",AD9))</x:f>
        <x:v>1</x:v>
      </x:c>
      <x:c r="AG9" s="415" t="n">
        <x:f>--ISNUMBER(SEARCH("GitHub Issue/Discussion",AD9))</x:f>
        <x:v>1</x:v>
      </x:c>
      <x:c r="AH9" s="415" t="n">
        <x:f>--ISNUMBER(SEARCH("阅读 README、文档或源码",AD9))</x:f>
        <x:v>0</x:v>
      </x:c>
      <x:c r="AI9" s="415" t="n">
        <x:f>--ISNUMBER(SEARCH("复现博客、教程或视频",AD9))</x:f>
        <x:v>1</x:v>
      </x:c>
      <x:c r="AJ9" s="415" t="n">
        <x:f>--ISNUMBER(SEARCH("询问同学、同事或导师",AD9))</x:f>
        <x:v>0</x:v>
      </x:c>
      <x:c r="AK9" s="415" t="n">
        <x:f>--ISNUMBER(SEARCH("没有使用以上方式",AD9))</x:f>
        <x:v>0</x:v>
      </x:c>
      <x:c r="AL9" s="415" t="n">
        <x:f>--ISNUMBER(SEARCH("其他",AD9))</x:f>
        <x:v>0</x:v>
      </x:c>
      <x:c r="AM9" s="440" t="str">
        <x:f>IF(AL9&lt;&gt;1,"",IFERROR(TEXTBEFORE(TEXTAFTER(AD9,"〖"),"〗"),"未说明"))</x:f>
      </x:c>
      <x:c r="AN9" s="426" t="n">
        <x:f>SUM(AE9:AJ9)+AL9</x:f>
        <x:v>3</x:v>
      </x:c>
      <x:c r="AO9" s="426" t="n">
        <x:f>AN9+AK9</x:f>
        <x:v>3</x:v>
      </x:c>
      <x:c r="AP9" s="426" t="n">
        <x:f>--(AN9&gt;0)</x:f>
        <x:v>1</x:v>
      </x:c>
      <x:c r="AQ9" s="426" t="n">
        <x:f>--AND(AK9=1,AN9&gt;0)</x:f>
        <x:v>0</x:v>
      </x:c>
      <x:c r="AR9" s="496" t="str">
        <x:v>信息分散，需要反复查找和拼接┋对覆盖文件、删除文件等高风险操作缺少提醒</x:v>
      </x:c>
      <x:c r="AS9" s="415" t="n">
        <x:f>--ISNUMBER(SEARCH("没有明显不足",AR9))</x:f>
        <x:v>0</x:v>
      </x:c>
      <x:c r="AT9" s="415" t="n">
        <x:f>--ISNUMBER(SEARCH("信息分散，需要反复查找和拼接",AR9))</x:f>
        <x:v>1</x:v>
      </x:c>
      <x:c r="AU9" s="415" t="n">
        <x:f>--ISNUMBER(SEARCH("结论缺少来源或证据，难以判断是否可信",AR9))</x:f>
        <x:v>0</x:v>
      </x:c>
      <x:c r="AV9" s="415" t="n">
        <x:f>--ISNUMBER(SEARCH("建议过于泛化，无法直接用于当前项目",AR9))</x:f>
        <x:v>0</x:v>
      </x:c>
      <x:c r="AW9" s="415" t="n">
        <x:f>--ISNUMBER(SEARCH("不了解我的硬件、系统或软件环境",AR9))</x:f>
        <x:v>0</x:v>
      </x:c>
      <x:c r="AX9" s="415" t="n">
        <x:f>--ISNUMBER(SEARCH("没有说明操作步骤的先后顺序",AR9))</x:f>
        <x:v>0</x:v>
      </x:c>
      <x:c r="AY9" s="415" t="n">
        <x:f>--ISNUMBER(SEARCH("对覆盖文件、删除文件等高风险操作缺少提醒",AR9))</x:f>
        <x:v>1</x:v>
      </x:c>
      <x:c r="AZ9" s="415" t="n">
        <x:f>--ISNUMBER(SEARCH("难以保存和延续此前的排错上下文",AR9))</x:f>
        <x:v>0</x:v>
      </x:c>
      <x:c r="BA9" s="415" t="n">
        <x:f>--ISNUMBER(SEARCH("相同问题得到的回答不稳定",AR9))</x:f>
        <x:v>0</x:v>
      </x:c>
      <x:c r="BB9" s="415" t="n">
        <x:f>--ISNUMBER(SEARCH("其他",AR9))</x:f>
        <x:v>0</x:v>
      </x:c>
      <x:c r="BC9" s="501" t="str">
        <x:f>IF(BB9=1,IFERROR(TEXTBEFORE(TEXTAFTER(AR9,"〖"),"〗"),"未说明"),"")</x:f>
      </x:c>
      <x:c r="BD9" s="426" t="n">
        <x:f>SUM(AT9:BB9)</x:f>
        <x:v>2</x:v>
      </x:c>
      <x:c r="BE9" s="426" t="n">
        <x:f>BD9+AS9</x:f>
        <x:v>2</x:v>
      </x:c>
      <x:c r="BF9" s="426" t="n">
        <x:f>--(BD9&gt;0)</x:f>
        <x:v>1</x:v>
      </x:c>
      <x:c r="BG9" s="426" t="n">
        <x:f>--AND(AS9=1,BD9&gt;0)</x:f>
        <x:v>0</x:v>
      </x:c>
      <x:c r="BH9" s="564" t="str">
        <x:v>数据集是否能够获得，以及是否需要申请权限┋是否提供可用的预训练权重┋Python、CUDA 和深度学习框架的版本要求</x:v>
      </x:c>
      <x:c r="BI9" s="575" t="n">
        <x:f>--ISNUMBER(SEARCH("数据集是否能够获得，以及是否需要申请权限",BH9))</x:f>
        <x:v>1</x:v>
      </x:c>
      <x:c r="BJ9" s="575" t="n">
        <x:f>--ISNUMBER(SEARCH("是否提供可用的预训练权重",BH9))</x:f>
        <x:v>1</x:v>
      </x:c>
      <x:c r="BK9" s="575" t="n">
        <x:f>--ISNUMBER(SEARCH("Python、CUDA 和深度学习框架的版本要求",BH9))</x:f>
        <x:v>1</x:v>
      </x:c>
      <x:c r="BL9" s="575" t="n">
        <x:f>--ISNUMBER(SEARCH("所需显存、存储空间和预计运行时间",BH9))</x:f>
        <x:v>0</x:v>
      </x:c>
      <x:c r="BM9" s="575" t="n">
        <x:f>--ISNUMBER(SEARCH("启动命令、配置文件和关键路径是否完整",BH9))</x:f>
        <x:v>0</x:v>
      </x:c>
      <x:c r="BN9" s="575" t="n">
        <x:f>--ISNUMBER(SEARCH("论文与代码的评测指标和实验口径是否一致",BH9))</x:f>
        <x:v>0</x:v>
      </x:c>
      <x:c r="BO9" s="575" t="n">
        <x:f>--ISNUMBER(SEARCH("项目许可证和允许使用的范围",BH9))</x:f>
        <x:v>0</x:v>
      </x:c>
      <x:c r="BP9" s="575" t="n">
        <x:f>--ISNUMBER(SEARCH("可能导致复现失败的关键风险",BH9))</x:f>
        <x:v>0</x:v>
      </x:c>
      <x:c r="BQ9" s="575" t="n">
        <x:f>--ISNUMBER(SEARCH("当前情况下最适合执行的第一步",BH9))</x:f>
        <x:v>0</x:v>
      </x:c>
      <x:c r="BR9" s="575" t="n">
        <x:f>--ISNUMBER(SEARCH("其他",BH9))</x:f>
        <x:v>0</x:v>
      </x:c>
      <x:c r="BS9" s="575" t="str">
        <x:f>IF(BR9=1,IFERROR(TEXTBEFORE(TEXTAFTER(BH9,"〖"),"〗"),"未说明"),"")</x:f>
      </x:c>
      <x:c r="BT9" s="575" t="n">
        <x:f>SUM(BI9:BR9)</x:f>
        <x:v>3</x:v>
      </x:c>
      <x:c r="BU9" s="575" t="n">
        <x:f>--(BT9&gt;3)</x:f>
        <x:v>0</x:v>
      </x:c>
      <x:c r="BV9" s="609" t="str">
        <x:v>每一步都必须单独审批</x:v>
      </x:c>
      <x:c r="BW9" s="614" t="n">
        <x:f>SWITCH(BV9,"可直接执行",1,"展示具体内容并经我确认后执行",2,"每一步都必须单独审批",3,"完全不允许",4,"未映射")</x:f>
        <x:v>3</x:v>
      </x:c>
      <x:c r="BX9" s="609" t="str">
        <x:v>每一步都必须单独审批</x:v>
      </x:c>
      <x:c r="BY9" s="614" t="n">
        <x:f>SWITCH(BX9,"可直接执行",1,"展示具体内容并经我确认后执行",2,"每一步都必须单独审批",3,"完全不允许",4,"未映射")</x:f>
        <x:v>3</x:v>
      </x:c>
      <x:c r="BZ9" s="609" t="str">
        <x:v>展示具体内容并经我确认后执行</x:v>
      </x:c>
      <x:c r="CA9" s="614" t="n">
        <x:f>SWITCH(BZ9,"可直接执行",1,"展示具体内容并经我确认后执行",2,"每一步都必须单独审批",3,"完全不允许",4,"未映射")</x:f>
        <x:v>2</x:v>
      </x:c>
      <x:c r="CB9" s="609" t="str">
        <x:v>展示具体内容并经我确认后执行</x:v>
      </x:c>
      <x:c r="CC9" s="614" t="n">
        <x:f>SWITCH(CB9,"可直接执行",1,"展示具体内容并经我确认后执行",2,"每一步都必须单独审批",3,"完全不允许",4,"未映射")</x:f>
        <x:v>2</x:v>
      </x:c>
      <x:c r="CD9" s="609" t="str">
        <x:v>展示具体内容并经我确认后执行</x:v>
      </x:c>
      <x:c r="CE9" s="614" t="n">
        <x:f>SWITCH(CD9,"可直接执行",1,"展示具体内容并经我确认后执行",2,"每一步都必须单独审批",3,"完全不允许",4,"未映射")</x:f>
        <x:v>2</x:v>
      </x:c>
      <x:c r="CF9" s="609" t="str">
        <x:v>可直接执行</x:v>
      </x:c>
      <x:c r="CG9" s="614" t="n">
        <x:f>SWITCH(CF9,"可直接执行",1,"展示具体内容并经我确认后执行",2,"每一步都必须单独审批",3,"完全不允许",4,"未映射")</x:f>
        <x:v>1</x:v>
      </x:c>
      <x:c r="CH9" s="639" t="n">
        <x:f>--AND(BY9&gt;=2,CC9&gt;=2,CE9&gt;=2)</x:f>
        <x:v>1</x:v>
      </x:c>
      <x:c r="CI9" s="679" t="str">
        <x:v>分享给导师或负责人，用于确认是否值得继续投入┋分享给项目成员，用于同步环境、资源或复现风险</x:v>
      </x:c>
      <x:c r="CJ9" s="684" t="n">
        <x:f>--ISNUMBER(SEARCH("分享给导师或负责人",CI9))</x:f>
        <x:v>1</x:v>
      </x:c>
      <x:c r="CK9" s="684" t="n">
        <x:f>--ISNUMBER(SEARCH("分享给同学或同事",CI9))</x:f>
        <x:v>0</x:v>
      </x:c>
      <x:c r="CL9" s="684" t="n">
        <x:f>--ISNUMBER(SEARCH("分享给项目成员",CI9))</x:f>
        <x:v>1</x:v>
      </x:c>
      <x:c r="CM9" s="684" t="n">
        <x:f>--ISNUMBER(SEARCH("仅自己查看和留存",CI9))</x:f>
        <x:v>0</x:v>
      </x:c>
      <x:c r="CN9" s="684" t="n">
        <x:f>--ISNUMBER(SEARCH("不会使用或分享这类报告",CI9))</x:f>
        <x:v>0</x:v>
      </x:c>
      <x:c r="CO9" s="684" t="n">
        <x:f>--ISNUMBER(SEARCH("其他",CI9))</x:f>
        <x:v>0</x:v>
      </x:c>
      <x:c r="CP9" s="688" t="str">
        <x:f>IF(CO9=1,IFERROR(TEXTBEFORE(TEXTAFTER(CI9,"〖"),"〗"),"未说明"),"")</x:f>
      </x:c>
      <x:c r="CQ9" s="692" t="n">
        <x:f>SUM(CJ9:CO9)</x:f>
        <x:v>2</x:v>
      </x:c>
      <x:c r="CR9" s="692" t="n">
        <x:f>SUM(CJ9:CL9)</x:f>
        <x:v>2</x:v>
      </x:c>
      <x:c r="CS9" s="692" t="n">
        <x:f>--(CR9&gt;0)</x:f>
        <x:v>1</x:v>
      </x:c>
      <x:c r="CT9" s="692" t="n">
        <x:f>--AND(CN9=1,CQ9&gt;1)</x:f>
        <x:v>0</x:v>
      </x:c>
      <x:c r="CU9"/>
      <x:c r="CV9"/>
      <x:c r="CW9"/>
      <x:c r="CX9"/>
      <x:c r="CY9"/>
      <x:c r="CZ9"/>
      <x:c r="DA9"/>
      <x:c r="DB9"/>
      <x:c r="DC9"/>
      <x:c r="DD9"/>
      <x:c r="DE9"/>
      <x:c r="DF9"/>
      <x:c r="DG9"/>
      <x:c r="DI9"/>
      <x:c r="DJ9"/>
      <x:c r="EA9"/>
      <x:c r="EB9"/>
      <x:c r="EC9"/>
      <x:c r="ED9"/>
      <x:c r="EE9"/>
      <x:c r="EF9"/>
      <x:c r="EG9"/>
      <x:c r="EH9"/>
      <x:c r="EI9"/>
      <x:c r="EJ9"/>
      <x:c r="EK9"/>
      <x:c r="EL9"/>
      <x:c r="EM9"/>
      <x:c r="EN9"/>
      <x:c r="EO9"/>
      <x:c r="EP9"/>
      <x:c r="EQ9"/>
      <x:c r="ER9"/>
      <x:c r="ES9"/>
      <x:c r="ET9"/>
      <x:c r="EU9"/>
      <x:c r="EV9"/>
      <x:c r="EW9"/>
      <x:c r="EX9"/>
      <x:c r="EY9"/>
      <x:c r="EZ9"/>
      <x:c r="FA9"/>
      <x:c r="FB9"/>
      <x:c r="FC9"/>
      <x:c r="FD9" t="str">
        <x:v>没有明显卡住的环节</x:v>
      </x:c>
      <x:c r="FE9" t="str">
        <x:v>没有明显卡住的环节</x:v>
      </x:c>
      <x:c r="FF9"/>
      <x:c r="FG9"/>
      <x:c r="FH9"/>
      <x:c r="FI9"/>
      <x:c r="FJ9"/>
      <x:c r="FK9" t="str">
        <x:v>否</x:v>
      </x:c>
      <x:c r="FL9"/>
      <x:c r="FM9"/>
      <x:c r="FN9" t="str">
        <x:v>数据集是否能够获得，以及是否需要申请权限┋所需显存、存储空间和预计运行时间┋当前情况下最适合执行的第一步</x:v>
      </x:c>
      <x:c r="FO9" t="str">
        <x:v>与冻结问卷及V0.2.1一致</x:v>
      </x:c>
    </x:row>
    <x:row r="10" ht="38" customHeight="1">
      <x:c r="A10" s="37" t="str">
        <x:v>F-010</x:v>
      </x:c>
      <x:c r="B10" s="37" t="str">
        <x:v>有效核心样本</x:v>
      </x:c>
      <x:c r="C10" s="37" t="n">
        <x:v>1</x:v>
      </x:c>
      <x:c r="D10" s="34" t="str">
        <x:v>完整跑通，并达到接近目标的结果</x:v>
      </x:c>
      <x:c r="E10" s="34" t="str">
        <x:v>4—8 小时</x:v>
      </x:c>
      <x:c r="F10" s="172" t="n">
        <x:v>4</x:v>
      </x:c>
      <x:c r="G10" s="43" t="str">
        <x:v>排查并解决运行错误</x:v>
      </x:c>
      <x:c r="H10" s="174" t="str">
        <x:v>排查运行错误</x:v>
      </x:c>
      <x:c r="I10" s="176"/>
      <x:c r="J10" s="178"/>
      <x:c r="K10" s="227" t="str">
        <x:v>排查并解决运行错误</x:v>
      </x:c>
      <x:c r="L10" s="256" t="str">
        <x:f>IF(LEFT(K10,2)="其他","其他",XLOOKUP(K10,tbl_q10_map[原始匹配值],tbl_q10_map[展示分类],"未映射"))</x:f>
        <x:v>未映射</x:v>
      </x:c>
      <x:c r="M10" s="262" t="str">
        <x:f>IF(L10&lt;&gt;"其他","",IFERROR(TEXTBEFORE(TEXTAFTER(K10,"〖"),"〗"),"未说明"))</x:f>
      </x:c>
      <x:c r="N10" s="304" t="str">
        <x:v>预训练权重缺失或与代码不兼容┋Python、CUDA 或深度学习框架版本不匹配┋关键依赖包版本冲突，例如 NumPy、mmcv、transformers 等库之间不兼容┋显存、存储空间或预计运行时间不足</x:v>
      </x:c>
      <x:c r="O10" s="331" t="n">
        <x:f>--ISNUMBER(SEARCH("未遇到以上问题",N10))</x:f>
        <x:v>0</x:v>
      </x:c>
      <x:c r="P10" s="331" t="n">
        <x:f>--ISNUMBER(SEARCH("数据无法获得或缺少访问权限",N10))</x:f>
        <x:v>0</x:v>
      </x:c>
      <x:c r="Q10" s="331" t="n">
        <x:f>--ISNUMBER(SEARCH("预训练权重缺失或与代码不兼容",N10))</x:f>
        <x:v>1</x:v>
      </x:c>
      <x:c r="R10" s="331" t="n">
        <x:f>--ISNUMBER(SEARCH("Python、CUDA 或深度学习框架版本不匹配",N10))</x:f>
        <x:v>1</x:v>
      </x:c>
      <x:c r="S10" s="331" t="n">
        <x:f>--ISNUMBER(SEARCH("关键依赖包版本冲突",N10))</x:f>
        <x:v>1</x:v>
      </x:c>
      <x:c r="T10" s="331" t="n">
        <x:f>--ISNUMBER(SEARCH("显存、存储空间或预计运行时间不足",N10))</x:f>
        <x:v>1</x:v>
      </x:c>
      <x:c r="U10" s="331" t="n">
        <x:f>--ISNUMBER(SEARCH("启动命令、配置文件或路径说明缺失",N10))</x:f>
        <x:v>0</x:v>
      </x:c>
      <x:c r="V10" s="331" t="n">
        <x:f>--ISNUMBER(SEARCH("论文与代码的评测口径不清",N10))</x:f>
        <x:v>0</x:v>
      </x:c>
      <x:c r="W10" s="331" t="n">
        <x:f>--ISNUMBER(SEARCH("许可证或使用范围受到限制",N10))</x:f>
        <x:v>0</x:v>
      </x:c>
      <x:c r="X10" s="331" t="n">
        <x:f>--ISNUMBER(SEARCH("其他",N10))</x:f>
        <x:v>0</x:v>
      </x:c>
      <x:c r="Y10" s="352" t="str">
        <x:f>IF(X10&lt;&gt;1,"",IFERROR(TEXTBEFORE(TEXTAFTER(N10,"〖"),"〗"),"未说明"))</x:f>
      </x:c>
      <x:c r="Z10" s="334" t="n">
        <x:f>SUM(O10:X10)</x:f>
        <x:v>4</x:v>
      </x:c>
      <x:c r="AA10" s="334" t="n">
        <x:f>SUM(P10:X10)</x:f>
        <x:v>4</x:v>
      </x:c>
      <x:c r="AB10" s="334" t="n">
        <x:f>--(AA10&gt;0)</x:f>
        <x:v>1</x:v>
      </x:c>
      <x:c r="AC10" s="343" t="n">
        <x:f>--AND(O10=1,AA10&gt;0)</x:f>
        <x:v>0</x:v>
      </x:c>
      <x:c r="AD10" s="396" t="str">
        <x:v>通用大模型或 AI 助手┋GitHub Issue/Discussion┋阅读 README、文档或源码</x:v>
      </x:c>
      <x:c r="AE10" s="415" t="n">
        <x:f>--ISNUMBER(SEARCH("搜索引擎",AD10))</x:f>
        <x:v>0</x:v>
      </x:c>
      <x:c r="AF10" s="415" t="n">
        <x:f>--ISNUMBER(SEARCH("通用大模型或 AI 助手",AD10))</x:f>
        <x:v>1</x:v>
      </x:c>
      <x:c r="AG10" s="415" t="n">
        <x:f>--ISNUMBER(SEARCH("GitHub Issue/Discussion",AD10))</x:f>
        <x:v>1</x:v>
      </x:c>
      <x:c r="AH10" s="415" t="n">
        <x:f>--ISNUMBER(SEARCH("阅读 README、文档或源码",AD10))</x:f>
        <x:v>1</x:v>
      </x:c>
      <x:c r="AI10" s="415" t="n">
        <x:f>--ISNUMBER(SEARCH("复现博客、教程或视频",AD10))</x:f>
        <x:v>0</x:v>
      </x:c>
      <x:c r="AJ10" s="415" t="n">
        <x:f>--ISNUMBER(SEARCH("询问同学、同事或导师",AD10))</x:f>
        <x:v>0</x:v>
      </x:c>
      <x:c r="AK10" s="415" t="n">
        <x:f>--ISNUMBER(SEARCH("没有使用以上方式",AD10))</x:f>
        <x:v>0</x:v>
      </x:c>
      <x:c r="AL10" s="415" t="n">
        <x:f>--ISNUMBER(SEARCH("其他",AD10))</x:f>
        <x:v>0</x:v>
      </x:c>
      <x:c r="AM10" s="440" t="str">
        <x:f>IF(AL10&lt;&gt;1,"",IFERROR(TEXTBEFORE(TEXTAFTER(AD10,"〖"),"〗"),"未说明"))</x:f>
      </x:c>
      <x:c r="AN10" s="426" t="n">
        <x:f>SUM(AE10:AJ10)+AL10</x:f>
        <x:v>3</x:v>
      </x:c>
      <x:c r="AO10" s="426" t="n">
        <x:f>AN10+AK10</x:f>
        <x:v>3</x:v>
      </x:c>
      <x:c r="AP10" s="426" t="n">
        <x:f>--(AN10&gt;0)</x:f>
        <x:v>1</x:v>
      </x:c>
      <x:c r="AQ10" s="426" t="n">
        <x:f>--AND(AK10=1,AN10&gt;0)</x:f>
        <x:v>0</x:v>
      </x:c>
      <x:c r="AR10" s="496" t="str">
        <x:v>建议过于泛化，无法直接用于当前项目┋相同问题得到的回答不稳定</x:v>
      </x:c>
      <x:c r="AS10" s="415" t="n">
        <x:f>--ISNUMBER(SEARCH("没有明显不足",AR10))</x:f>
        <x:v>0</x:v>
      </x:c>
      <x:c r="AT10" s="415" t="n">
        <x:f>--ISNUMBER(SEARCH("信息分散，需要反复查找和拼接",AR10))</x:f>
        <x:v>0</x:v>
      </x:c>
      <x:c r="AU10" s="415" t="n">
        <x:f>--ISNUMBER(SEARCH("结论缺少来源或证据，难以判断是否可信",AR10))</x:f>
        <x:v>0</x:v>
      </x:c>
      <x:c r="AV10" s="415" t="n">
        <x:f>--ISNUMBER(SEARCH("建议过于泛化，无法直接用于当前项目",AR10))</x:f>
        <x:v>1</x:v>
      </x:c>
      <x:c r="AW10" s="415" t="n">
        <x:f>--ISNUMBER(SEARCH("不了解我的硬件、系统或软件环境",AR10))</x:f>
        <x:v>0</x:v>
      </x:c>
      <x:c r="AX10" s="415" t="n">
        <x:f>--ISNUMBER(SEARCH("没有说明操作步骤的先后顺序",AR10))</x:f>
        <x:v>0</x:v>
      </x:c>
      <x:c r="AY10" s="415" t="n">
        <x:f>--ISNUMBER(SEARCH("对覆盖文件、删除文件等高风险操作缺少提醒",AR10))</x:f>
        <x:v>0</x:v>
      </x:c>
      <x:c r="AZ10" s="415" t="n">
        <x:f>--ISNUMBER(SEARCH("难以保存和延续此前的排错上下文",AR10))</x:f>
        <x:v>0</x:v>
      </x:c>
      <x:c r="BA10" s="415" t="n">
        <x:f>--ISNUMBER(SEARCH("相同问题得到的回答不稳定",AR10))</x:f>
        <x:v>1</x:v>
      </x:c>
      <x:c r="BB10" s="415" t="n">
        <x:f>--ISNUMBER(SEARCH("其他",AR10))</x:f>
        <x:v>0</x:v>
      </x:c>
      <x:c r="BC10" s="501" t="str">
        <x:f>IF(BB10=1,IFERROR(TEXTBEFORE(TEXTAFTER(AR10,"〖"),"〗"),"未说明"),"")</x:f>
      </x:c>
      <x:c r="BD10" s="426" t="n">
        <x:f>SUM(AT10:BB10)</x:f>
        <x:v>2</x:v>
      </x:c>
      <x:c r="BE10" s="426" t="n">
        <x:f>BD10+AS10</x:f>
        <x:v>2</x:v>
      </x:c>
      <x:c r="BF10" s="426" t="n">
        <x:f>--(BD10&gt;0)</x:f>
        <x:v>1</x:v>
      </x:c>
      <x:c r="BG10" s="426" t="n">
        <x:f>--AND(AS10=1,BD10&gt;0)</x:f>
        <x:v>0</x:v>
      </x:c>
      <x:c r="BH10" s="564" t="str">
        <x:v>是否提供可用的预训练权重┋所需显存、存储空间和预计运行时间┋论文与代码的评测指标和实验口径是否一致</x:v>
      </x:c>
      <x:c r="BI10" s="575" t="n">
        <x:f>--ISNUMBER(SEARCH("数据集是否能够获得，以及是否需要申请权限",BH10))</x:f>
        <x:v>0</x:v>
      </x:c>
      <x:c r="BJ10" s="575" t="n">
        <x:f>--ISNUMBER(SEARCH("是否提供可用的预训练权重",BH10))</x:f>
        <x:v>1</x:v>
      </x:c>
      <x:c r="BK10" s="575" t="n">
        <x:f>--ISNUMBER(SEARCH("Python、CUDA 和深度学习框架的版本要求",BH10))</x:f>
        <x:v>0</x:v>
      </x:c>
      <x:c r="BL10" s="575" t="n">
        <x:f>--ISNUMBER(SEARCH("所需显存、存储空间和预计运行时间",BH10))</x:f>
        <x:v>1</x:v>
      </x:c>
      <x:c r="BM10" s="575" t="n">
        <x:f>--ISNUMBER(SEARCH("启动命令、配置文件和关键路径是否完整",BH10))</x:f>
        <x:v>0</x:v>
      </x:c>
      <x:c r="BN10" s="575" t="n">
        <x:f>--ISNUMBER(SEARCH("论文与代码的评测指标和实验口径是否一致",BH10))</x:f>
        <x:v>1</x:v>
      </x:c>
      <x:c r="BO10" s="575" t="n">
        <x:f>--ISNUMBER(SEARCH("项目许可证和允许使用的范围",BH10))</x:f>
        <x:v>0</x:v>
      </x:c>
      <x:c r="BP10" s="575" t="n">
        <x:f>--ISNUMBER(SEARCH("可能导致复现失败的关键风险",BH10))</x:f>
        <x:v>0</x:v>
      </x:c>
      <x:c r="BQ10" s="575" t="n">
        <x:f>--ISNUMBER(SEARCH("当前情况下最适合执行的第一步",BH10))</x:f>
        <x:v>0</x:v>
      </x:c>
      <x:c r="BR10" s="575" t="n">
        <x:f>--ISNUMBER(SEARCH("其他",BH10))</x:f>
        <x:v>0</x:v>
      </x:c>
      <x:c r="BS10" s="575" t="str">
        <x:f>IF(BR10=1,IFERROR(TEXTBEFORE(TEXTAFTER(BH10,"〖"),"〗"),"未说明"),"")</x:f>
      </x:c>
      <x:c r="BT10" s="575" t="n">
        <x:f>SUM(BI10:BR10)</x:f>
        <x:v>3</x:v>
      </x:c>
      <x:c r="BU10" s="575" t="n">
        <x:f>--(BT10&gt;3)</x:f>
        <x:v>0</x:v>
      </x:c>
      <x:c r="BV10" s="609" t="str">
        <x:v>可直接执行</x:v>
      </x:c>
      <x:c r="BW10" s="614" t="n">
        <x:f>SWITCH(BV10,"可直接执行",1,"展示具体内容并经我确认后执行",2,"每一步都必须单独审批",3,"完全不允许",4,"未映射")</x:f>
        <x:v>1</x:v>
      </x:c>
      <x:c r="BX10" s="609" t="str">
        <x:v>可直接执行</x:v>
      </x:c>
      <x:c r="BY10" s="614" t="n">
        <x:f>SWITCH(BX10,"可直接执行",1,"展示具体内容并经我确认后执行",2,"每一步都必须单独审批",3,"完全不允许",4,"未映射")</x:f>
        <x:v>1</x:v>
      </x:c>
      <x:c r="BZ10" s="609" t="str">
        <x:v>每一步都必须单独审批</x:v>
      </x:c>
      <x:c r="CA10" s="614" t="n">
        <x:f>SWITCH(BZ10,"可直接执行",1,"展示具体内容并经我确认后执行",2,"每一步都必须单独审批",3,"完全不允许",4,"未映射")</x:f>
        <x:v>3</x:v>
      </x:c>
      <x:c r="CB10" s="609" t="str">
        <x:v>每一步都必须单独审批</x:v>
      </x:c>
      <x:c r="CC10" s="614" t="n">
        <x:f>SWITCH(CB10,"可直接执行",1,"展示具体内容并经我确认后执行",2,"每一步都必须单独审批",3,"完全不允许",4,"未映射")</x:f>
        <x:v>3</x:v>
      </x:c>
      <x:c r="CD10" s="609" t="str">
        <x:v>每一步都必须单独审批</x:v>
      </x:c>
      <x:c r="CE10" s="614" t="n">
        <x:f>SWITCH(CD10,"可直接执行",1,"展示具体内容并经我确认后执行",2,"每一步都必须单独审批",3,"完全不允许",4,"未映射")</x:f>
        <x:v>3</x:v>
      </x:c>
      <x:c r="CF10" s="609" t="str">
        <x:v>可直接执行</x:v>
      </x:c>
      <x:c r="CG10" s="614" t="n">
        <x:f>SWITCH(CF10,"可直接执行",1,"展示具体内容并经我确认后执行",2,"每一步都必须单独审批",3,"完全不允许",4,"未映射")</x:f>
        <x:v>1</x:v>
      </x:c>
      <x:c r="CH10" s="639" t="n">
        <x:f>--AND(BY10&gt;=2,CC10&gt;=2,CE10&gt;=2)</x:f>
        <x:v>0</x:v>
      </x:c>
      <x:c r="CI10" s="679" t="str">
        <x:v>分享给导师或负责人，用于确认是否值得继续投入┋分享给同学或同事，请对方协助处理具体问题┋分享给项目成员，用于同步环境、资源或复现风险</x:v>
      </x:c>
      <x:c r="CJ10" s="684" t="n">
        <x:f>--ISNUMBER(SEARCH("分享给导师或负责人",CI10))</x:f>
        <x:v>1</x:v>
      </x:c>
      <x:c r="CK10" s="684" t="n">
        <x:f>--ISNUMBER(SEARCH("分享给同学或同事",CI10))</x:f>
        <x:v>1</x:v>
      </x:c>
      <x:c r="CL10" s="684" t="n">
        <x:f>--ISNUMBER(SEARCH("分享给项目成员",CI10))</x:f>
        <x:v>1</x:v>
      </x:c>
      <x:c r="CM10" s="684" t="n">
        <x:f>--ISNUMBER(SEARCH("仅自己查看和留存",CI10))</x:f>
        <x:v>0</x:v>
      </x:c>
      <x:c r="CN10" s="684" t="n">
        <x:f>--ISNUMBER(SEARCH("不会使用或分享这类报告",CI10))</x:f>
        <x:v>0</x:v>
      </x:c>
      <x:c r="CO10" s="684" t="n">
        <x:f>--ISNUMBER(SEARCH("其他",CI10))</x:f>
        <x:v>0</x:v>
      </x:c>
      <x:c r="CP10" s="688" t="str">
        <x:f>IF(CO10=1,IFERROR(TEXTBEFORE(TEXTAFTER(CI10,"〖"),"〗"),"未说明"),"")</x:f>
      </x:c>
      <x:c r="CQ10" s="692" t="n">
        <x:f>SUM(CJ10:CO10)</x:f>
        <x:v>3</x:v>
      </x:c>
      <x:c r="CR10" s="692" t="n">
        <x:f>SUM(CJ10:CL10)</x:f>
        <x:v>3</x:v>
      </x:c>
      <x:c r="CS10" s="692" t="n">
        <x:f>--(CR10&gt;0)</x:f>
        <x:v>1</x:v>
      </x:c>
      <x:c r="CT10" s="692" t="n">
        <x:f>--AND(CN10=1,CQ10&gt;1)</x:f>
        <x:v>0</x:v>
      </x:c>
      <x:c r="CU10"/>
      <x:c r="CV10"/>
      <x:c r="CW10"/>
      <x:c r="CX10"/>
      <x:c r="CY10"/>
      <x:c r="CZ10"/>
      <x:c r="DA10"/>
      <x:c r="DB10"/>
      <x:c r="DC10"/>
      <x:c r="DD10"/>
      <x:c r="DE10"/>
      <x:c r="DF10"/>
      <x:c r="DG10"/>
      <x:c r="DI10"/>
      <x:c r="DJ10"/>
      <x:c r="EA10"/>
      <x:c r="EB10"/>
      <x:c r="EC10"/>
      <x:c r="ED10"/>
      <x:c r="EE10"/>
      <x:c r="EF10"/>
      <x:c r="EG10"/>
      <x:c r="EH10"/>
      <x:c r="EI10"/>
      <x:c r="EJ10"/>
      <x:c r="EK10"/>
      <x:c r="EL10"/>
      <x:c r="EM10"/>
      <x:c r="EN10"/>
      <x:c r="EO10"/>
      <x:c r="EP10"/>
      <x:c r="EQ10"/>
      <x:c r="ER10"/>
      <x:c r="ES10"/>
      <x:c r="ET10"/>
      <x:c r="EU10"/>
      <x:c r="EV10"/>
      <x:c r="EW10"/>
      <x:c r="EX10"/>
      <x:c r="EY10"/>
      <x:c r="EZ10"/>
      <x:c r="FA10"/>
      <x:c r="FB10" t="str">
        <x:v>其他</x:v>
      </x:c>
      <x:c r="FC10"/>
      <x:c r="FD10" t="str">
        <x:v>其他</x:v>
      </x:c>
      <x:c r="FE10" t="str">
        <x:v>其他</x:v>
      </x:c>
      <x:c r="FF10"/>
      <x:c r="FG10"/>
      <x:c r="FH10"/>
      <x:c r="FI10"/>
      <x:c r="FJ10"/>
      <x:c r="FK10" t="str">
        <x:v>否</x:v>
      </x:c>
      <x:c r="FL10"/>
      <x:c r="FM10"/>
      <x:c r="FN10" t="str">
        <x:v>数据集是否能够获得，以及是否需要申请权限┋所需显存、存储空间和预计运行时间┋启动命令、配置文件和关键路径是否完整</x:v>
      </x:c>
      <x:c r="FO10" t="str">
        <x:v>与冻结问卷及V0.2.1一致</x:v>
      </x:c>
    </x:row>
    <x:row r="11" ht="38" customHeight="1">
      <x:c r="A11" s="37" t="str">
        <x:v>F-011</x:v>
      </x:c>
      <x:c r="B11" s="37" t="str">
        <x:v>有效核心样本</x:v>
      </x:c>
      <x:c r="C11" s="37" t="n">
        <x:v>1</x:v>
      </x:c>
      <x:c r="D11" s="34" t="str">
        <x:v>完整跑通，并达到接近目标的结果</x:v>
      </x:c>
      <x:c r="E11" s="34" t="str">
        <x:v>1—3 天</x:v>
      </x:c>
      <x:c r="F11" s="172" t="n">
        <x:v>5</x:v>
      </x:c>
      <x:c r="G11" s="43" t="str">
        <x:v>运行训练、推理或测试</x:v>
      </x:c>
      <x:c r="H11" s="174" t="str">
        <x:v>运行训练/推理/测试</x:v>
      </x:c>
      <x:c r="I11" s="176"/>
      <x:c r="J11" s="178"/>
      <x:c r="K11" s="227" t="str">
        <x:v>前期了解项目并判断是否值得复现</x:v>
      </x:c>
      <x:c r="L11" s="256" t="str">
        <x:f>IF(LEFT(K11,2)="其他","其他",XLOOKUP(K11,tbl_q10_map[原始匹配值],tbl_q10_map[展示分类],"未映射"))</x:f>
        <x:v>未映射</x:v>
      </x:c>
      <x:c r="M11" s="262" t="str">
        <x:f>IF(L11&lt;&gt;"其他","",IFERROR(TEXTBEFORE(TEXTAFTER(K11,"〖"),"〗"),"未说明"))</x:f>
      </x:c>
      <x:c r="N11" s="304" t="str">
        <x:v>数据无法获得或缺少访问权限┋显存、存储空间或预计运行时间不足</x:v>
      </x:c>
      <x:c r="O11" s="331" t="n">
        <x:f>--ISNUMBER(SEARCH("未遇到以上问题",N11))</x:f>
        <x:v>0</x:v>
      </x:c>
      <x:c r="P11" s="331" t="n">
        <x:f>--ISNUMBER(SEARCH("数据无法获得或缺少访问权限",N11))</x:f>
        <x:v>1</x:v>
      </x:c>
      <x:c r="Q11" s="331" t="n">
        <x:f>--ISNUMBER(SEARCH("预训练权重缺失或与代码不兼容",N11))</x:f>
        <x:v>0</x:v>
      </x:c>
      <x:c r="R11" s="331" t="n">
        <x:f>--ISNUMBER(SEARCH("Python、CUDA 或深度学习框架版本不匹配",N11))</x:f>
        <x:v>0</x:v>
      </x:c>
      <x:c r="S11" s="331" t="n">
        <x:f>--ISNUMBER(SEARCH("关键依赖包版本冲突",N11))</x:f>
        <x:v>0</x:v>
      </x:c>
      <x:c r="T11" s="331" t="n">
        <x:f>--ISNUMBER(SEARCH("显存、存储空间或预计运行时间不足",N11))</x:f>
        <x:v>1</x:v>
      </x:c>
      <x:c r="U11" s="331" t="n">
        <x:f>--ISNUMBER(SEARCH("启动命令、配置文件或路径说明缺失",N11))</x:f>
        <x:v>0</x:v>
      </x:c>
      <x:c r="V11" s="331" t="n">
        <x:f>--ISNUMBER(SEARCH("论文与代码的评测口径不清",N11))</x:f>
        <x:v>0</x:v>
      </x:c>
      <x:c r="W11" s="331" t="n">
        <x:f>--ISNUMBER(SEARCH("许可证或使用范围受到限制",N11))</x:f>
        <x:v>0</x:v>
      </x:c>
      <x:c r="X11" s="331" t="n">
        <x:f>--ISNUMBER(SEARCH("其他",N11))</x:f>
        <x:v>0</x:v>
      </x:c>
      <x:c r="Y11" s="352" t="str">
        <x:f>IF(X11&lt;&gt;1,"",IFERROR(TEXTBEFORE(TEXTAFTER(N11,"〖"),"〗"),"未说明"))</x:f>
      </x:c>
      <x:c r="Z11" s="334" t="n">
        <x:f>SUM(O11:X11)</x:f>
        <x:v>2</x:v>
      </x:c>
      <x:c r="AA11" s="334" t="n">
        <x:f>SUM(P11:X11)</x:f>
        <x:v>2</x:v>
      </x:c>
      <x:c r="AB11" s="334" t="n">
        <x:f>--(AA11&gt;0)</x:f>
        <x:v>1</x:v>
      </x:c>
      <x:c r="AC11" s="343" t="n">
        <x:f>--AND(O11=1,AA11&gt;0)</x:f>
        <x:v>0</x:v>
      </x:c>
      <x:c r="AD11" s="396" t="str">
        <x:v>通用大模型或 AI 助手┋阅读 README、文档或源码┋复现博客、教程或视频┋询问同学、同事或导师</x:v>
      </x:c>
      <x:c r="AE11" s="415" t="n">
        <x:f>--ISNUMBER(SEARCH("搜索引擎",AD11))</x:f>
        <x:v>0</x:v>
      </x:c>
      <x:c r="AF11" s="415" t="n">
        <x:f>--ISNUMBER(SEARCH("通用大模型或 AI 助手",AD11))</x:f>
        <x:v>1</x:v>
      </x:c>
      <x:c r="AG11" s="415" t="n">
        <x:f>--ISNUMBER(SEARCH("GitHub Issue/Discussion",AD11))</x:f>
        <x:v>0</x:v>
      </x:c>
      <x:c r="AH11" s="415" t="n">
        <x:f>--ISNUMBER(SEARCH("阅读 README、文档或源码",AD11))</x:f>
        <x:v>1</x:v>
      </x:c>
      <x:c r="AI11" s="415" t="n">
        <x:f>--ISNUMBER(SEARCH("复现博客、教程或视频",AD11))</x:f>
        <x:v>1</x:v>
      </x:c>
      <x:c r="AJ11" s="415" t="n">
        <x:f>--ISNUMBER(SEARCH("询问同学、同事或导师",AD11))</x:f>
        <x:v>1</x:v>
      </x:c>
      <x:c r="AK11" s="415" t="n">
        <x:f>--ISNUMBER(SEARCH("没有使用以上方式",AD11))</x:f>
        <x:v>0</x:v>
      </x:c>
      <x:c r="AL11" s="415" t="n">
        <x:f>--ISNUMBER(SEARCH("其他",AD11))</x:f>
        <x:v>0</x:v>
      </x:c>
      <x:c r="AM11" s="440" t="str">
        <x:f>IF(AL11&lt;&gt;1,"",IFERROR(TEXTBEFORE(TEXTAFTER(AD11,"〖"),"〗"),"未说明"))</x:f>
      </x:c>
      <x:c r="AN11" s="426" t="n">
        <x:f>SUM(AE11:AJ11)+AL11</x:f>
        <x:v>4</x:v>
      </x:c>
      <x:c r="AO11" s="426" t="n">
        <x:f>AN11+AK11</x:f>
        <x:v>4</x:v>
      </x:c>
      <x:c r="AP11" s="426" t="n">
        <x:f>--(AN11&gt;0)</x:f>
        <x:v>1</x:v>
      </x:c>
      <x:c r="AQ11" s="426" t="n">
        <x:f>--AND(AK11=1,AN11&gt;0)</x:f>
        <x:v>0</x:v>
      </x:c>
      <x:c r="AR11" s="496" t="str">
        <x:v>结论缺少来源或证据，难以判断是否可信┋建议过于泛化，无法直接用于当前项目</x:v>
      </x:c>
      <x:c r="AS11" s="415" t="n">
        <x:f>--ISNUMBER(SEARCH("没有明显不足",AR11))</x:f>
        <x:v>0</x:v>
      </x:c>
      <x:c r="AT11" s="415" t="n">
        <x:f>--ISNUMBER(SEARCH("信息分散，需要反复查找和拼接",AR11))</x:f>
        <x:v>0</x:v>
      </x:c>
      <x:c r="AU11" s="415" t="n">
        <x:f>--ISNUMBER(SEARCH("结论缺少来源或证据，难以判断是否可信",AR11))</x:f>
        <x:v>1</x:v>
      </x:c>
      <x:c r="AV11" s="415" t="n">
        <x:f>--ISNUMBER(SEARCH("建议过于泛化，无法直接用于当前项目",AR11))</x:f>
        <x:v>1</x:v>
      </x:c>
      <x:c r="AW11" s="415" t="n">
        <x:f>--ISNUMBER(SEARCH("不了解我的硬件、系统或软件环境",AR11))</x:f>
        <x:v>0</x:v>
      </x:c>
      <x:c r="AX11" s="415" t="n">
        <x:f>--ISNUMBER(SEARCH("没有说明操作步骤的先后顺序",AR11))</x:f>
        <x:v>0</x:v>
      </x:c>
      <x:c r="AY11" s="415" t="n">
        <x:f>--ISNUMBER(SEARCH("对覆盖文件、删除文件等高风险操作缺少提醒",AR11))</x:f>
        <x:v>0</x:v>
      </x:c>
      <x:c r="AZ11" s="415" t="n">
        <x:f>--ISNUMBER(SEARCH("难以保存和延续此前的排错上下文",AR11))</x:f>
        <x:v>0</x:v>
      </x:c>
      <x:c r="BA11" s="415" t="n">
        <x:f>--ISNUMBER(SEARCH("相同问题得到的回答不稳定",AR11))</x:f>
        <x:v>0</x:v>
      </x:c>
      <x:c r="BB11" s="415" t="n">
        <x:f>--ISNUMBER(SEARCH("其他",AR11))</x:f>
        <x:v>0</x:v>
      </x:c>
      <x:c r="BC11" s="501" t="str">
        <x:f>IF(BB11=1,IFERROR(TEXTBEFORE(TEXTAFTER(AR11,"〖"),"〗"),"未说明"),"")</x:f>
      </x:c>
      <x:c r="BD11" s="426" t="n">
        <x:f>SUM(AT11:BB11)</x:f>
        <x:v>2</x:v>
      </x:c>
      <x:c r="BE11" s="426" t="n">
        <x:f>BD11+AS11</x:f>
        <x:v>2</x:v>
      </x:c>
      <x:c r="BF11" s="426" t="n">
        <x:f>--(BD11&gt;0)</x:f>
        <x:v>1</x:v>
      </x:c>
      <x:c r="BG11" s="426" t="n">
        <x:f>--AND(AS11=1,BD11&gt;0)</x:f>
        <x:v>0</x:v>
      </x:c>
      <x:c r="BH11" s="564" t="str">
        <x:v>数据集是否能够获得，以及是否需要申请权限┋是否提供可用的预训练权重┋启动命令、配置文件和关键路径是否完整</x:v>
      </x:c>
      <x:c r="BI11" s="575" t="n">
        <x:f>--ISNUMBER(SEARCH("数据集是否能够获得，以及是否需要申请权限",BH11))</x:f>
        <x:v>1</x:v>
      </x:c>
      <x:c r="BJ11" s="575" t="n">
        <x:f>--ISNUMBER(SEARCH("是否提供可用的预训练权重",BH11))</x:f>
        <x:v>1</x:v>
      </x:c>
      <x:c r="BK11" s="575" t="n">
        <x:f>--ISNUMBER(SEARCH("Python、CUDA 和深度学习框架的版本要求",BH11))</x:f>
        <x:v>0</x:v>
      </x:c>
      <x:c r="BL11" s="575" t="n">
        <x:f>--ISNUMBER(SEARCH("所需显存、存储空间和预计运行时间",BH11))</x:f>
        <x:v>0</x:v>
      </x:c>
      <x:c r="BM11" s="575" t="n">
        <x:f>--ISNUMBER(SEARCH("启动命令、配置文件和关键路径是否完整",BH11))</x:f>
        <x:v>1</x:v>
      </x:c>
      <x:c r="BN11" s="575" t="n">
        <x:f>--ISNUMBER(SEARCH("论文与代码的评测指标和实验口径是否一致",BH11))</x:f>
        <x:v>0</x:v>
      </x:c>
      <x:c r="BO11" s="575" t="n">
        <x:f>--ISNUMBER(SEARCH("项目许可证和允许使用的范围",BH11))</x:f>
        <x:v>0</x:v>
      </x:c>
      <x:c r="BP11" s="575" t="n">
        <x:f>--ISNUMBER(SEARCH("可能导致复现失败的关键风险",BH11))</x:f>
        <x:v>0</x:v>
      </x:c>
      <x:c r="BQ11" s="575" t="n">
        <x:f>--ISNUMBER(SEARCH("当前情况下最适合执行的第一步",BH11))</x:f>
        <x:v>0</x:v>
      </x:c>
      <x:c r="BR11" s="575" t="n">
        <x:f>--ISNUMBER(SEARCH("其他",BH11))</x:f>
        <x:v>0</x:v>
      </x:c>
      <x:c r="BS11" s="575" t="str">
        <x:f>IF(BR11=1,IFERROR(TEXTBEFORE(TEXTAFTER(BH11,"〖"),"〗"),"未说明"),"")</x:f>
      </x:c>
      <x:c r="BT11" s="575" t="n">
        <x:f>SUM(BI11:BR11)</x:f>
        <x:v>3</x:v>
      </x:c>
      <x:c r="BU11" s="575" t="n">
        <x:f>--(BT11&gt;3)</x:f>
        <x:v>0</x:v>
      </x:c>
      <x:c r="BV11" s="609" t="str">
        <x:v>可直接执行</x:v>
      </x:c>
      <x:c r="BW11" s="614" t="n">
        <x:f>SWITCH(BV11,"可直接执行",1,"展示具体内容并经我确认后执行",2,"每一步都必须单独审批",3,"完全不允许",4,"未映射")</x:f>
        <x:v>1</x:v>
      </x:c>
      <x:c r="BX11" s="609" t="str">
        <x:v>可直接执行</x:v>
      </x:c>
      <x:c r="BY11" s="614" t="n">
        <x:f>SWITCH(BX11,"可直接执行",1,"展示具体内容并经我确认后执行",2,"每一步都必须单独审批",3,"完全不允许",4,"未映射")</x:f>
        <x:v>1</x:v>
      </x:c>
      <x:c r="BZ11" s="609" t="str">
        <x:v>展示具体内容并经我确认后执行</x:v>
      </x:c>
      <x:c r="CA11" s="614" t="n">
        <x:f>SWITCH(BZ11,"可直接执行",1,"展示具体内容并经我确认后执行",2,"每一步都必须单独审批",3,"完全不允许",4,"未映射")</x:f>
        <x:v>2</x:v>
      </x:c>
      <x:c r="CB11" s="609" t="str">
        <x:v>展示具体内容并经我确认后执行</x:v>
      </x:c>
      <x:c r="CC11" s="614" t="n">
        <x:f>SWITCH(CB11,"可直接执行",1,"展示具体内容并经我确认后执行",2,"每一步都必须单独审批",3,"完全不允许",4,"未映射")</x:f>
        <x:v>2</x:v>
      </x:c>
      <x:c r="CD11" s="609" t="str">
        <x:v>展示具体内容并经我确认后执行</x:v>
      </x:c>
      <x:c r="CE11" s="614" t="n">
        <x:f>SWITCH(CD11,"可直接执行",1,"展示具体内容并经我确认后执行",2,"每一步都必须单独审批",3,"完全不允许",4,"未映射")</x:f>
        <x:v>2</x:v>
      </x:c>
      <x:c r="CF11" s="609" t="str">
        <x:v>展示具体内容并经我确认后执行</x:v>
      </x:c>
      <x:c r="CG11" s="614" t="n">
        <x:f>SWITCH(CF11,"可直接执行",1,"展示具体内容并经我确认后执行",2,"每一步都必须单独审批",3,"完全不允许",4,"未映射")</x:f>
        <x:v>2</x:v>
      </x:c>
      <x:c r="CH11" s="639" t="n">
        <x:f>--AND(BY11&gt;=2,CC11&gt;=2,CE11&gt;=2)</x:f>
        <x:v>0</x:v>
      </x:c>
      <x:c r="CI11" s="679" t="str">
        <x:v>分享给导师或负责人，用于确认是否值得继续投入┋分享给同学或同事，请对方协助处理具体问题</x:v>
      </x:c>
      <x:c r="CJ11" s="684" t="n">
        <x:f>--ISNUMBER(SEARCH("分享给导师或负责人",CI11))</x:f>
        <x:v>1</x:v>
      </x:c>
      <x:c r="CK11" s="684" t="n">
        <x:f>--ISNUMBER(SEARCH("分享给同学或同事",CI11))</x:f>
        <x:v>1</x:v>
      </x:c>
      <x:c r="CL11" s="684" t="n">
        <x:f>--ISNUMBER(SEARCH("分享给项目成员",CI11))</x:f>
        <x:v>0</x:v>
      </x:c>
      <x:c r="CM11" s="684" t="n">
        <x:f>--ISNUMBER(SEARCH("仅自己查看和留存",CI11))</x:f>
        <x:v>0</x:v>
      </x:c>
      <x:c r="CN11" s="684" t="n">
        <x:f>--ISNUMBER(SEARCH("不会使用或分享这类报告",CI11))</x:f>
        <x:v>0</x:v>
      </x:c>
      <x:c r="CO11" s="684" t="n">
        <x:f>--ISNUMBER(SEARCH("其他",CI11))</x:f>
        <x:v>0</x:v>
      </x:c>
      <x:c r="CP11" s="688" t="str">
        <x:f>IF(CO11=1,IFERROR(TEXTBEFORE(TEXTAFTER(CI11,"〖"),"〗"),"未说明"),"")</x:f>
      </x:c>
      <x:c r="CQ11" s="692" t="n">
        <x:f>SUM(CJ11:CO11)</x:f>
        <x:v>2</x:v>
      </x:c>
      <x:c r="CR11" s="692" t="n">
        <x:f>SUM(CJ11:CL11)</x:f>
        <x:v>2</x:v>
      </x:c>
      <x:c r="CS11" s="692" t="n">
        <x:f>--(CR11&gt;0)</x:f>
        <x:v>1</x:v>
      </x:c>
      <x:c r="CT11" s="692" t="n">
        <x:f>--AND(CN11=1,CQ11&gt;1)</x:f>
        <x:v>0</x:v>
      </x:c>
      <x:c r="CU11"/>
      <x:c r="CV11"/>
      <x:c r="CW11"/>
      <x:c r="CX11"/>
      <x:c r="CY11"/>
      <x:c r="CZ11"/>
      <x:c r="DA11"/>
      <x:c r="DB11"/>
      <x:c r="DC11"/>
      <x:c r="DD11"/>
      <x:c r="DE11"/>
      <x:c r="DF11"/>
      <x:c r="DG11"/>
      <x:c r="DI11"/>
      <x:c r="DJ11"/>
      <x:c r="EA11"/>
      <x:c r="EB11"/>
      <x:c r="EC11"/>
      <x:c r="ED11"/>
      <x:c r="EE11"/>
      <x:c r="EF11"/>
      <x:c r="EG11"/>
      <x:c r="EH11"/>
      <x:c r="EI11"/>
      <x:c r="EJ11"/>
      <x:c r="EK11"/>
      <x:c r="EL11"/>
      <x:c r="EM11"/>
      <x:c r="EN11"/>
      <x:c r="EO11"/>
      <x:c r="EP11"/>
      <x:c r="EQ11"/>
      <x:c r="ER11"/>
      <x:c r="ES11"/>
      <x:c r="ET11"/>
      <x:c r="EU11"/>
      <x:c r="EV11"/>
      <x:c r="EW11"/>
      <x:c r="EX11"/>
      <x:c r="EY11" t="n">
        <x:v>0</x:v>
      </x:c>
      <x:c r="EZ11"/>
      <x:c r="FA11" t="n">
        <x:v>0</x:v>
      </x:c>
      <x:c r="FB11"/>
      <x:c r="FC11"/>
      <x:c r="FD11"/>
      <x:c r="FE11"/>
      <x:c r="FF11"/>
      <x:c r="FG11"/>
      <x:c r="FH11"/>
      <x:c r="FI11"/>
      <x:c r="FJ11"/>
      <x:c r="FK11"/>
      <x:c r="FL11"/>
      <x:c r="FM11"/>
      <x:c r="FN11" t="str">
        <x:v>数据集是否能够获得，以及是否需要申请权限┋项目许可证和允许使用的范围</x:v>
      </x:c>
      <x:c r="FO11" t="str">
        <x:v>与冻结问卷及V0.2.1一致</x:v>
      </x:c>
    </x:row>
    <x:row r="12" ht="38" customHeight="1">
      <x:c r="A12" s="37" t="str">
        <x:v>F-012</x:v>
      </x:c>
      <x:c r="B12" s="37" t="str">
        <x:v>有效核心样本</x:v>
      </x:c>
      <x:c r="C12" s="37" t="n">
        <x:v>1</x:v>
      </x:c>
      <x:c r="D12" s="34" t="str">
        <x:v>已跑通，但结果与论文或项目说明明显不一致</x:v>
      </x:c>
      <x:c r="E12" s="34" t="str">
        <x:v>1—3 天</x:v>
      </x:c>
      <x:c r="F12" s="172" t="n">
        <x:v>5</x:v>
      </x:c>
      <x:c r="G12" s="43" t="str">
        <x:v>获取数据集或预训练权重</x:v>
      </x:c>
      <x:c r="H12" s="174" t="str">
        <x:v>获取数据或权重</x:v>
      </x:c>
      <x:c r="I12" s="176"/>
      <x:c r="J12" s="178"/>
      <x:c r="K12" s="227" t="str">
        <x:v>运行训练、推理或测试</x:v>
      </x:c>
      <x:c r="L12" s="256" t="str">
        <x:f>IF(LEFT(K12,2)="其他","其他",XLOOKUP(K12,tbl_q10_map[原始匹配值],tbl_q10_map[展示分类],"未映射"))</x:f>
        <x:v>未映射</x:v>
      </x:c>
      <x:c r="M12" s="262" t="str">
        <x:f>IF(L12&lt;&gt;"其他","",IFERROR(TEXTBEFORE(TEXTAFTER(K12,"〖"),"〗"),"未说明"))</x:f>
      </x:c>
      <x:c r="N12" s="304" t="str">
        <x:v>预训练权重缺失或与代码不兼容┋关键依赖包版本冲突，例如 NumPy、mmcv、transformers 等库之间不兼容</x:v>
      </x:c>
      <x:c r="O12" s="331" t="n">
        <x:f>--ISNUMBER(SEARCH("未遇到以上问题",N12))</x:f>
        <x:v>0</x:v>
      </x:c>
      <x:c r="P12" s="331" t="n">
        <x:f>--ISNUMBER(SEARCH("数据无法获得或缺少访问权限",N12))</x:f>
        <x:v>0</x:v>
      </x:c>
      <x:c r="Q12" s="331" t="n">
        <x:f>--ISNUMBER(SEARCH("预训练权重缺失或与代码不兼容",N12))</x:f>
        <x:v>1</x:v>
      </x:c>
      <x:c r="R12" s="331" t="n">
        <x:f>--ISNUMBER(SEARCH("Python、CUDA 或深度学习框架版本不匹配",N12))</x:f>
        <x:v>0</x:v>
      </x:c>
      <x:c r="S12" s="331" t="n">
        <x:f>--ISNUMBER(SEARCH("关键依赖包版本冲突",N12))</x:f>
        <x:v>1</x:v>
      </x:c>
      <x:c r="T12" s="331" t="n">
        <x:f>--ISNUMBER(SEARCH("显存、存储空间或预计运行时间不足",N12))</x:f>
        <x:v>0</x:v>
      </x:c>
      <x:c r="U12" s="331" t="n">
        <x:f>--ISNUMBER(SEARCH("启动命令、配置文件或路径说明缺失",N12))</x:f>
        <x:v>0</x:v>
      </x:c>
      <x:c r="V12" s="331" t="n">
        <x:f>--ISNUMBER(SEARCH("论文与代码的评测口径不清",N12))</x:f>
        <x:v>0</x:v>
      </x:c>
      <x:c r="W12" s="331" t="n">
        <x:f>--ISNUMBER(SEARCH("许可证或使用范围受到限制",N12))</x:f>
        <x:v>0</x:v>
      </x:c>
      <x:c r="X12" s="331" t="n">
        <x:f>--ISNUMBER(SEARCH("其他",N12))</x:f>
        <x:v>0</x:v>
      </x:c>
      <x:c r="Y12" s="352" t="str">
        <x:f>IF(X12&lt;&gt;1,"",IFERROR(TEXTBEFORE(TEXTAFTER(N12,"〖"),"〗"),"未说明"))</x:f>
      </x:c>
      <x:c r="Z12" s="334" t="n">
        <x:f>SUM(O12:X12)</x:f>
        <x:v>2</x:v>
      </x:c>
      <x:c r="AA12" s="334" t="n">
        <x:f>SUM(P12:X12)</x:f>
        <x:v>2</x:v>
      </x:c>
      <x:c r="AB12" s="334" t="n">
        <x:f>--(AA12&gt;0)</x:f>
        <x:v>1</x:v>
      </x:c>
      <x:c r="AC12" s="343" t="n">
        <x:f>--AND(O12=1,AA12&gt;0)</x:f>
        <x:v>0</x:v>
      </x:c>
      <x:c r="AD12" s="396" t="str">
        <x:v>通用大模型或 AI 助手┋阅读 README、文档或源码</x:v>
      </x:c>
      <x:c r="AE12" s="415" t="n">
        <x:f>--ISNUMBER(SEARCH("搜索引擎",AD12))</x:f>
        <x:v>0</x:v>
      </x:c>
      <x:c r="AF12" s="415" t="n">
        <x:f>--ISNUMBER(SEARCH("通用大模型或 AI 助手",AD12))</x:f>
        <x:v>1</x:v>
      </x:c>
      <x:c r="AG12" s="415" t="n">
        <x:f>--ISNUMBER(SEARCH("GitHub Issue/Discussion",AD12))</x:f>
        <x:v>0</x:v>
      </x:c>
      <x:c r="AH12" s="415" t="n">
        <x:f>--ISNUMBER(SEARCH("阅读 README、文档或源码",AD12))</x:f>
        <x:v>1</x:v>
      </x:c>
      <x:c r="AI12" s="415" t="n">
        <x:f>--ISNUMBER(SEARCH("复现博客、教程或视频",AD12))</x:f>
        <x:v>0</x:v>
      </x:c>
      <x:c r="AJ12" s="415" t="n">
        <x:f>--ISNUMBER(SEARCH("询问同学、同事或导师",AD12))</x:f>
        <x:v>0</x:v>
      </x:c>
      <x:c r="AK12" s="415" t="n">
        <x:f>--ISNUMBER(SEARCH("没有使用以上方式",AD12))</x:f>
        <x:v>0</x:v>
      </x:c>
      <x:c r="AL12" s="415" t="n">
        <x:f>--ISNUMBER(SEARCH("其他",AD12))</x:f>
        <x:v>0</x:v>
      </x:c>
      <x:c r="AM12" s="440" t="str">
        <x:f>IF(AL12&lt;&gt;1,"",IFERROR(TEXTBEFORE(TEXTAFTER(AD12,"〖"),"〗"),"未说明"))</x:f>
      </x:c>
      <x:c r="AN12" s="426" t="n">
        <x:f>SUM(AE12:AJ12)+AL12</x:f>
        <x:v>2</x:v>
      </x:c>
      <x:c r="AO12" s="426" t="n">
        <x:f>AN12+AK12</x:f>
        <x:v>2</x:v>
      </x:c>
      <x:c r="AP12" s="426" t="n">
        <x:f>--(AN12&gt;0)</x:f>
        <x:v>1</x:v>
      </x:c>
      <x:c r="AQ12" s="426" t="n">
        <x:f>--AND(AK12=1,AN12&gt;0)</x:f>
        <x:v>0</x:v>
      </x:c>
      <x:c r="AR12" s="496" t="str">
        <x:v>信息分散，需要反复查找和拼接┋结论缺少来源或证据，难以判断是否可信┋建议过于泛化，无法直接用于当前项目┋没有说明操作步骤的先后顺序</x:v>
      </x:c>
      <x:c r="AS12" s="415" t="n">
        <x:f>--ISNUMBER(SEARCH("没有明显不足",AR12))</x:f>
        <x:v>0</x:v>
      </x:c>
      <x:c r="AT12" s="415" t="n">
        <x:f>--ISNUMBER(SEARCH("信息分散，需要反复查找和拼接",AR12))</x:f>
        <x:v>1</x:v>
      </x:c>
      <x:c r="AU12" s="415" t="n">
        <x:f>--ISNUMBER(SEARCH("结论缺少来源或证据，难以判断是否可信",AR12))</x:f>
        <x:v>1</x:v>
      </x:c>
      <x:c r="AV12" s="415" t="n">
        <x:f>--ISNUMBER(SEARCH("建议过于泛化，无法直接用于当前项目",AR12))</x:f>
        <x:v>1</x:v>
      </x:c>
      <x:c r="AW12" s="415" t="n">
        <x:f>--ISNUMBER(SEARCH("不了解我的硬件、系统或软件环境",AR12))</x:f>
        <x:v>0</x:v>
      </x:c>
      <x:c r="AX12" s="415" t="n">
        <x:f>--ISNUMBER(SEARCH("没有说明操作步骤的先后顺序",AR12))</x:f>
        <x:v>1</x:v>
      </x:c>
      <x:c r="AY12" s="415" t="n">
        <x:f>--ISNUMBER(SEARCH("对覆盖文件、删除文件等高风险操作缺少提醒",AR12))</x:f>
        <x:v>0</x:v>
      </x:c>
      <x:c r="AZ12" s="415" t="n">
        <x:f>--ISNUMBER(SEARCH("难以保存和延续此前的排错上下文",AR12))</x:f>
        <x:v>0</x:v>
      </x:c>
      <x:c r="BA12" s="415" t="n">
        <x:f>--ISNUMBER(SEARCH("相同问题得到的回答不稳定",AR12))</x:f>
        <x:v>0</x:v>
      </x:c>
      <x:c r="BB12" s="415" t="n">
        <x:f>--ISNUMBER(SEARCH("其他",AR12))</x:f>
        <x:v>0</x:v>
      </x:c>
      <x:c r="BC12" s="501" t="str">
        <x:f>IF(BB12=1,IFERROR(TEXTBEFORE(TEXTAFTER(AR12,"〖"),"〗"),"未说明"),"")</x:f>
      </x:c>
      <x:c r="BD12" s="426" t="n">
        <x:f>SUM(AT12:BB12)</x:f>
        <x:v>4</x:v>
      </x:c>
      <x:c r="BE12" s="426" t="n">
        <x:f>BD12+AS12</x:f>
        <x:v>4</x:v>
      </x:c>
      <x:c r="BF12" s="426" t="n">
        <x:f>--(BD12&gt;0)</x:f>
        <x:v>1</x:v>
      </x:c>
      <x:c r="BG12" s="426" t="n">
        <x:f>--AND(AS12=1,BD12&gt;0)</x:f>
        <x:v>0</x:v>
      </x:c>
      <x:c r="BH12" s="564" t="str">
        <x:v>数据集是否能够获得，以及是否需要申请权限┋是否提供可用的预训练权重┋启动命令、配置文件和关键路径是否完整</x:v>
      </x:c>
      <x:c r="BI12" s="575" t="n">
        <x:f>--ISNUMBER(SEARCH("数据集是否能够获得，以及是否需要申请权限",BH12))</x:f>
        <x:v>1</x:v>
      </x:c>
      <x:c r="BJ12" s="575" t="n">
        <x:f>--ISNUMBER(SEARCH("是否提供可用的预训练权重",BH12))</x:f>
        <x:v>1</x:v>
      </x:c>
      <x:c r="BK12" s="575" t="n">
        <x:f>--ISNUMBER(SEARCH("Python、CUDA 和深度学习框架的版本要求",BH12))</x:f>
        <x:v>0</x:v>
      </x:c>
      <x:c r="BL12" s="575" t="n">
        <x:f>--ISNUMBER(SEARCH("所需显存、存储空间和预计运行时间",BH12))</x:f>
        <x:v>0</x:v>
      </x:c>
      <x:c r="BM12" s="575" t="n">
        <x:f>--ISNUMBER(SEARCH("启动命令、配置文件和关键路径是否完整",BH12))</x:f>
        <x:v>1</x:v>
      </x:c>
      <x:c r="BN12" s="575" t="n">
        <x:f>--ISNUMBER(SEARCH("论文与代码的评测指标和实验口径是否一致",BH12))</x:f>
        <x:v>0</x:v>
      </x:c>
      <x:c r="BO12" s="575" t="n">
        <x:f>--ISNUMBER(SEARCH("项目许可证和允许使用的范围",BH12))</x:f>
        <x:v>0</x:v>
      </x:c>
      <x:c r="BP12" s="575" t="n">
        <x:f>--ISNUMBER(SEARCH("可能导致复现失败的关键风险",BH12))</x:f>
        <x:v>0</x:v>
      </x:c>
      <x:c r="BQ12" s="575" t="n">
        <x:f>--ISNUMBER(SEARCH("当前情况下最适合执行的第一步",BH12))</x:f>
        <x:v>0</x:v>
      </x:c>
      <x:c r="BR12" s="575" t="n">
        <x:f>--ISNUMBER(SEARCH("其他",BH12))</x:f>
        <x:v>0</x:v>
      </x:c>
      <x:c r="BS12" s="575" t="str">
        <x:f>IF(BR12=1,IFERROR(TEXTBEFORE(TEXTAFTER(BH12,"〖"),"〗"),"未说明"),"")</x:f>
      </x:c>
      <x:c r="BT12" s="575" t="n">
        <x:f>SUM(BI12:BR12)</x:f>
        <x:v>3</x:v>
      </x:c>
      <x:c r="BU12" s="575" t="n">
        <x:f>--(BT12&gt;3)</x:f>
        <x:v>0</x:v>
      </x:c>
      <x:c r="BV12" s="609" t="str">
        <x:v>每一步都必须单独审批</x:v>
      </x:c>
      <x:c r="BW12" s="614" t="n">
        <x:f>SWITCH(BV12,"可直接执行",1,"展示具体内容并经我确认后执行",2,"每一步都必须单独审批",3,"完全不允许",4,"未映射")</x:f>
        <x:v>3</x:v>
      </x:c>
      <x:c r="BX12" s="609" t="str">
        <x:v>可直接执行</x:v>
      </x:c>
      <x:c r="BY12" s="614" t="n">
        <x:f>SWITCH(BX12,"可直接执行",1,"展示具体内容并经我确认后执行",2,"每一步都必须单独审批",3,"完全不允许",4,"未映射")</x:f>
        <x:v>1</x:v>
      </x:c>
      <x:c r="BZ12" s="609" t="str">
        <x:v>完全不允许</x:v>
      </x:c>
      <x:c r="CA12" s="614" t="n">
        <x:f>SWITCH(BZ12,"可直接执行",1,"展示具体内容并经我确认后执行",2,"每一步都必须单独审批",3,"完全不允许",4,"未映射")</x:f>
        <x:v>4</x:v>
      </x:c>
      <x:c r="CB12" s="609" t="str">
        <x:v>完全不允许</x:v>
      </x:c>
      <x:c r="CC12" s="614" t="n">
        <x:f>SWITCH(CB12,"可直接执行",1,"展示具体内容并经我确认后执行",2,"每一步都必须单独审批",3,"完全不允许",4,"未映射")</x:f>
        <x:v>4</x:v>
      </x:c>
      <x:c r="CD12" s="609" t="str">
        <x:v>展示具体内容并经我确认后执行</x:v>
      </x:c>
      <x:c r="CE12" s="614" t="n">
        <x:f>SWITCH(CD12,"可直接执行",1,"展示具体内容并经我确认后执行",2,"每一步都必须单独审批",3,"完全不允许",4,"未映射")</x:f>
        <x:v>2</x:v>
      </x:c>
      <x:c r="CF12" s="609" t="str">
        <x:v>展示具体内容并经我确认后执行</x:v>
      </x:c>
      <x:c r="CG12" s="614" t="n">
        <x:f>SWITCH(CF12,"可直接执行",1,"展示具体内容并经我确认后执行",2,"每一步都必须单独审批",3,"完全不允许",4,"未映射")</x:f>
        <x:v>2</x:v>
      </x:c>
      <x:c r="CH12" s="639" t="n">
        <x:f>--AND(BY12&gt;=2,CC12&gt;=2,CE12&gt;=2)</x:f>
        <x:v>0</x:v>
      </x:c>
      <x:c r="CI12" s="679" t="str">
        <x:v>分享给导师或负责人，用于确认是否值得继续投入┋分享给同学或同事，请对方协助处理具体问题┋分享给项目成员，用于同步环境、资源或复现风险</x:v>
      </x:c>
      <x:c r="CJ12" s="684" t="n">
        <x:f>--ISNUMBER(SEARCH("分享给导师或负责人",CI12))</x:f>
        <x:v>1</x:v>
      </x:c>
      <x:c r="CK12" s="684" t="n">
        <x:f>--ISNUMBER(SEARCH("分享给同学或同事",CI12))</x:f>
        <x:v>1</x:v>
      </x:c>
      <x:c r="CL12" s="684" t="n">
        <x:f>--ISNUMBER(SEARCH("分享给项目成员",CI12))</x:f>
        <x:v>1</x:v>
      </x:c>
      <x:c r="CM12" s="684" t="n">
        <x:f>--ISNUMBER(SEARCH("仅自己查看和留存",CI12))</x:f>
        <x:v>0</x:v>
      </x:c>
      <x:c r="CN12" s="684" t="n">
        <x:f>--ISNUMBER(SEARCH("不会使用或分享这类报告",CI12))</x:f>
        <x:v>0</x:v>
      </x:c>
      <x:c r="CO12" s="684" t="n">
        <x:f>--ISNUMBER(SEARCH("其他",CI12))</x:f>
        <x:v>0</x:v>
      </x:c>
      <x:c r="CP12" s="688" t="str">
        <x:f>IF(CO12=1,IFERROR(TEXTBEFORE(TEXTAFTER(CI12,"〖"),"〗"),"未说明"),"")</x:f>
      </x:c>
      <x:c r="CQ12" s="692" t="n">
        <x:f>SUM(CJ12:CO12)</x:f>
        <x:v>3</x:v>
      </x:c>
      <x:c r="CR12" s="692" t="n">
        <x:f>SUM(CJ12:CL12)</x:f>
        <x:v>3</x:v>
      </x:c>
      <x:c r="CS12" s="692" t="n">
        <x:f>--(CR12&gt;0)</x:f>
        <x:v>1</x:v>
      </x:c>
      <x:c r="CT12" s="692" t="n">
        <x:f>--AND(CN12=1,CQ12&gt;1)</x:f>
        <x:v>0</x:v>
      </x:c>
      <x:c r="CU12"/>
      <x:c r="CV12"/>
      <x:c r="CW12"/>
      <x:c r="CX12"/>
      <x:c r="CY12"/>
      <x:c r="CZ12"/>
      <x:c r="DA12"/>
      <x:c r="DB12"/>
      <x:c r="DC12"/>
      <x:c r="DD12"/>
      <x:c r="DE12"/>
      <x:c r="DF12"/>
      <x:c r="DG12"/>
      <x:c r="DI12"/>
      <x:c r="DJ12"/>
      <x:c r="EA12"/>
      <x:c r="EB12"/>
      <x:c r="EC12"/>
      <x:c r="ED12"/>
      <x:c r="EE12"/>
      <x:c r="EF12"/>
      <x:c r="EG12"/>
      <x:c r="EH12"/>
      <x:c r="EI12"/>
      <x:c r="EJ12"/>
      <x:c r="EK12"/>
      <x:c r="EL12"/>
      <x:c r="EM12"/>
      <x:c r="EN12"/>
      <x:c r="EO12"/>
      <x:c r="EP12"/>
      <x:c r="EQ12"/>
      <x:c r="ER12"/>
      <x:c r="ES12"/>
      <x:c r="ET12"/>
      <x:c r="EU12"/>
      <x:c r="EV12"/>
      <x:c r="EW12"/>
      <x:c r="EX12"/>
      <x:c r="EY12" t="str">
        <x:v>无互斥冲突</x:v>
      </x:c>
      <x:c r="EZ12"/>
      <x:c r="FA12" t="str">
        <x:v>无需人工复核</x:v>
      </x:c>
      <x:c r="FB12"/>
      <x:c r="FC12"/>
      <x:c r="FD12"/>
      <x:c r="FE12"/>
      <x:c r="FF12"/>
      <x:c r="FG12"/>
      <x:c r="FH12"/>
      <x:c r="FI12"/>
      <x:c r="FJ12" t="str">
        <x:v>Q8编码检查</x:v>
      </x:c>
      <x:c r="FK12" t="str">
        <x:v>结果</x:v>
      </x:c>
      <x:c r="FL12"/>
      <x:c r="FM12"/>
      <x:c r="FN12" t="str">
        <x:v>数据集是否能够获得，以及是否需要申请权限┋Python、CUDA 和深度学习框架的版本要求</x:v>
      </x:c>
      <x:c r="FO12" t="str">
        <x:v>与冻结问卷及V0.2.1一致</x:v>
      </x:c>
    </x:row>
    <x:row r="13" ht="38" customHeight="1">
      <x:c r="A13" s="37" t="str">
        <x:v>F-013</x:v>
      </x:c>
      <x:c r="B13" s="37" t="str">
        <x:v>有效核心样本</x:v>
      </x:c>
      <x:c r="C13" s="37" t="n">
        <x:v>1</x:v>
      </x:c>
      <x:c r="D13" s="34" t="str">
        <x:v>只跑通了部分流程</x:v>
      </x:c>
      <x:c r="E13" s="34" t="str">
        <x:v>4—7 天</x:v>
      </x:c>
      <x:c r="F13" s="172" t="n">
        <x:v>6</x:v>
      </x:c>
      <x:c r="G13" s="43" t="str">
        <x:v>准备和预处理数据</x:v>
      </x:c>
      <x:c r="H13" s="174" t="str">
        <x:v>准备和预处理数据</x:v>
      </x:c>
      <x:c r="I13" s="176"/>
      <x:c r="J13" s="178"/>
      <x:c r="K13" s="227" t="str">
        <x:v>前期了解项目并判断是否值得复现</x:v>
      </x:c>
      <x:c r="L13" s="256" t="str">
        <x:f>IF(LEFT(K13,2)="其他","其他",XLOOKUP(K13,tbl_q10_map[原始匹配值],tbl_q10_map[展示分类],"未映射"))</x:f>
        <x:v>未映射</x:v>
      </x:c>
      <x:c r="M13" s="262" t="str">
        <x:f>IF(L13&lt;&gt;"其他","",IFERROR(TEXTBEFORE(TEXTAFTER(K13,"〖"),"〗"),"未说明"))</x:f>
      </x:c>
      <x:c r="N13" s="304" t="str">
        <x:v>数据无法获得或缺少访问权限┋预训练权重缺失或与代码不兼容┋Python、CUDA 或深度学习框架版本不匹配┋关键依赖包版本冲突，例如 NumPy、mmcv、transformers 等库之间不兼容┋显存、存储空间或预计运行时间不足┋启动命令、配置文件或路径说明缺失</x:v>
      </x:c>
      <x:c r="O13" s="331" t="n">
        <x:f>--ISNUMBER(SEARCH("未遇到以上问题",N13))</x:f>
        <x:v>0</x:v>
      </x:c>
      <x:c r="P13" s="331" t="n">
        <x:f>--ISNUMBER(SEARCH("数据无法获得或缺少访问权限",N13))</x:f>
        <x:v>1</x:v>
      </x:c>
      <x:c r="Q13" s="331" t="n">
        <x:f>--ISNUMBER(SEARCH("预训练权重缺失或与代码不兼容",N13))</x:f>
        <x:v>1</x:v>
      </x:c>
      <x:c r="R13" s="331" t="n">
        <x:f>--ISNUMBER(SEARCH("Python、CUDA 或深度学习框架版本不匹配",N13))</x:f>
        <x:v>1</x:v>
      </x:c>
      <x:c r="S13" s="331" t="n">
        <x:f>--ISNUMBER(SEARCH("关键依赖包版本冲突",N13))</x:f>
        <x:v>1</x:v>
      </x:c>
      <x:c r="T13" s="331" t="n">
        <x:f>--ISNUMBER(SEARCH("显存、存储空间或预计运行时间不足",N13))</x:f>
        <x:v>1</x:v>
      </x:c>
      <x:c r="U13" s="331" t="n">
        <x:f>--ISNUMBER(SEARCH("启动命令、配置文件或路径说明缺失",N13))</x:f>
        <x:v>1</x:v>
      </x:c>
      <x:c r="V13" s="331" t="n">
        <x:f>--ISNUMBER(SEARCH("论文与代码的评测口径不清",N13))</x:f>
        <x:v>0</x:v>
      </x:c>
      <x:c r="W13" s="331" t="n">
        <x:f>--ISNUMBER(SEARCH("许可证或使用范围受到限制",N13))</x:f>
        <x:v>0</x:v>
      </x:c>
      <x:c r="X13" s="331" t="n">
        <x:f>--ISNUMBER(SEARCH("其他",N13))</x:f>
        <x:v>0</x:v>
      </x:c>
      <x:c r="Y13" s="352" t="str">
        <x:f>IF(X13&lt;&gt;1,"",IFERROR(TEXTBEFORE(TEXTAFTER(N13,"〖"),"〗"),"未说明"))</x:f>
      </x:c>
      <x:c r="Z13" s="334" t="n">
        <x:f>SUM(O13:X13)</x:f>
        <x:v>6</x:v>
      </x:c>
      <x:c r="AA13" s="334" t="n">
        <x:f>SUM(P13:X13)</x:f>
        <x:v>6</x:v>
      </x:c>
      <x:c r="AB13" s="334" t="n">
        <x:f>--(AA13&gt;0)</x:f>
        <x:v>1</x:v>
      </x:c>
      <x:c r="AC13" s="343" t="n">
        <x:f>--AND(O13=1,AA13&gt;0)</x:f>
        <x:v>0</x:v>
      </x:c>
      <x:c r="AD13" s="396" t="str">
        <x:v>搜索引擎┋通用大模型或 AI 助手┋阅读 README、文档或源码┋询问同学、同事或导师</x:v>
      </x:c>
      <x:c r="AE13" s="415" t="n">
        <x:f>--ISNUMBER(SEARCH("搜索引擎",AD13))</x:f>
        <x:v>1</x:v>
      </x:c>
      <x:c r="AF13" s="415" t="n">
        <x:f>--ISNUMBER(SEARCH("通用大模型或 AI 助手",AD13))</x:f>
        <x:v>1</x:v>
      </x:c>
      <x:c r="AG13" s="415" t="n">
        <x:f>--ISNUMBER(SEARCH("GitHub Issue/Discussion",AD13))</x:f>
        <x:v>0</x:v>
      </x:c>
      <x:c r="AH13" s="415" t="n">
        <x:f>--ISNUMBER(SEARCH("阅读 README、文档或源码",AD13))</x:f>
        <x:v>1</x:v>
      </x:c>
      <x:c r="AI13" s="415" t="n">
        <x:f>--ISNUMBER(SEARCH("复现博客、教程或视频",AD13))</x:f>
        <x:v>0</x:v>
      </x:c>
      <x:c r="AJ13" s="415" t="n">
        <x:f>--ISNUMBER(SEARCH("询问同学、同事或导师",AD13))</x:f>
        <x:v>1</x:v>
      </x:c>
      <x:c r="AK13" s="415" t="n">
        <x:f>--ISNUMBER(SEARCH("没有使用以上方式",AD13))</x:f>
        <x:v>0</x:v>
      </x:c>
      <x:c r="AL13" s="415" t="n">
        <x:f>--ISNUMBER(SEARCH("其他",AD13))</x:f>
        <x:v>0</x:v>
      </x:c>
      <x:c r="AM13" s="440" t="str">
        <x:f>IF(AL13&lt;&gt;1,"",IFERROR(TEXTBEFORE(TEXTAFTER(AD13,"〖"),"〗"),"未说明"))</x:f>
      </x:c>
      <x:c r="AN13" s="426" t="n">
        <x:f>SUM(AE13:AJ13)+AL13</x:f>
        <x:v>4</x:v>
      </x:c>
      <x:c r="AO13" s="426" t="n">
        <x:f>AN13+AK13</x:f>
        <x:v>4</x:v>
      </x:c>
      <x:c r="AP13" s="426" t="n">
        <x:f>--(AN13&gt;0)</x:f>
        <x:v>1</x:v>
      </x:c>
      <x:c r="AQ13" s="426" t="n">
        <x:f>--AND(AK13=1,AN13&gt;0)</x:f>
        <x:v>0</x:v>
      </x:c>
      <x:c r="AR13" s="496" t="str">
        <x:v>信息分散，需要反复查找和拼接┋结论缺少来源或证据，难以判断是否可信┋建议过于泛化，无法直接用于当前项目┋不了解我的硬件、系统或软件环境</x:v>
      </x:c>
      <x:c r="AS13" s="415" t="n">
        <x:f>--ISNUMBER(SEARCH("没有明显不足",AR13))</x:f>
        <x:v>0</x:v>
      </x:c>
      <x:c r="AT13" s="415" t="n">
        <x:f>--ISNUMBER(SEARCH("信息分散，需要反复查找和拼接",AR13))</x:f>
        <x:v>1</x:v>
      </x:c>
      <x:c r="AU13" s="415" t="n">
        <x:f>--ISNUMBER(SEARCH("结论缺少来源或证据，难以判断是否可信",AR13))</x:f>
        <x:v>1</x:v>
      </x:c>
      <x:c r="AV13" s="415" t="n">
        <x:f>--ISNUMBER(SEARCH("建议过于泛化，无法直接用于当前项目",AR13))</x:f>
        <x:v>1</x:v>
      </x:c>
      <x:c r="AW13" s="415" t="n">
        <x:f>--ISNUMBER(SEARCH("不了解我的硬件、系统或软件环境",AR13))</x:f>
        <x:v>1</x:v>
      </x:c>
      <x:c r="AX13" s="415" t="n">
        <x:f>--ISNUMBER(SEARCH("没有说明操作步骤的先后顺序",AR13))</x:f>
        <x:v>0</x:v>
      </x:c>
      <x:c r="AY13" s="415" t="n">
        <x:f>--ISNUMBER(SEARCH("对覆盖文件、删除文件等高风险操作缺少提醒",AR13))</x:f>
        <x:v>0</x:v>
      </x:c>
      <x:c r="AZ13" s="415" t="n">
        <x:f>--ISNUMBER(SEARCH("难以保存和延续此前的排错上下文",AR13))</x:f>
        <x:v>0</x:v>
      </x:c>
      <x:c r="BA13" s="415" t="n">
        <x:f>--ISNUMBER(SEARCH("相同问题得到的回答不稳定",AR13))</x:f>
        <x:v>0</x:v>
      </x:c>
      <x:c r="BB13" s="415" t="n">
        <x:f>--ISNUMBER(SEARCH("其他",AR13))</x:f>
        <x:v>0</x:v>
      </x:c>
      <x:c r="BC13" s="501" t="str">
        <x:f>IF(BB13=1,IFERROR(TEXTBEFORE(TEXTAFTER(AR13,"〖"),"〗"),"未说明"),"")</x:f>
      </x:c>
      <x:c r="BD13" s="426" t="n">
        <x:f>SUM(AT13:BB13)</x:f>
        <x:v>4</x:v>
      </x:c>
      <x:c r="BE13" s="426" t="n">
        <x:f>BD13+AS13</x:f>
        <x:v>4</x:v>
      </x:c>
      <x:c r="BF13" s="426" t="n">
        <x:f>--(BD13&gt;0)</x:f>
        <x:v>1</x:v>
      </x:c>
      <x:c r="BG13" s="426" t="n">
        <x:f>--AND(AS13=1,BD13&gt;0)</x:f>
        <x:v>0</x:v>
      </x:c>
      <x:c r="BH13" s="564" t="str">
        <x:v>数据集是否能够获得，以及是否需要申请权限┋是否提供可用的预训练权重┋Python、CUDA 和深度学习框架的版本要求</x:v>
      </x:c>
      <x:c r="BI13" s="575" t="n">
        <x:f>--ISNUMBER(SEARCH("数据集是否能够获得，以及是否需要申请权限",BH13))</x:f>
        <x:v>1</x:v>
      </x:c>
      <x:c r="BJ13" s="575" t="n">
        <x:f>--ISNUMBER(SEARCH("是否提供可用的预训练权重",BH13))</x:f>
        <x:v>1</x:v>
      </x:c>
      <x:c r="BK13" s="575" t="n">
        <x:f>--ISNUMBER(SEARCH("Python、CUDA 和深度学习框架的版本要求",BH13))</x:f>
        <x:v>1</x:v>
      </x:c>
      <x:c r="BL13" s="575" t="n">
        <x:f>--ISNUMBER(SEARCH("所需显存、存储空间和预计运行时间",BH13))</x:f>
        <x:v>0</x:v>
      </x:c>
      <x:c r="BM13" s="575" t="n">
        <x:f>--ISNUMBER(SEARCH("启动命令、配置文件和关键路径是否完整",BH13))</x:f>
        <x:v>0</x:v>
      </x:c>
      <x:c r="BN13" s="575" t="n">
        <x:f>--ISNUMBER(SEARCH("论文与代码的评测指标和实验口径是否一致",BH13))</x:f>
        <x:v>0</x:v>
      </x:c>
      <x:c r="BO13" s="575" t="n">
        <x:f>--ISNUMBER(SEARCH("项目许可证和允许使用的范围",BH13))</x:f>
        <x:v>0</x:v>
      </x:c>
      <x:c r="BP13" s="575" t="n">
        <x:f>--ISNUMBER(SEARCH("可能导致复现失败的关键风险",BH13))</x:f>
        <x:v>0</x:v>
      </x:c>
      <x:c r="BQ13" s="575" t="n">
        <x:f>--ISNUMBER(SEARCH("当前情况下最适合执行的第一步",BH13))</x:f>
        <x:v>0</x:v>
      </x:c>
      <x:c r="BR13" s="575" t="n">
        <x:f>--ISNUMBER(SEARCH("其他",BH13))</x:f>
        <x:v>0</x:v>
      </x:c>
      <x:c r="BS13" s="575" t="str">
        <x:f>IF(BR13=1,IFERROR(TEXTBEFORE(TEXTAFTER(BH13,"〖"),"〗"),"未说明"),"")</x:f>
      </x:c>
      <x:c r="BT13" s="575" t="n">
        <x:f>SUM(BI13:BR13)</x:f>
        <x:v>3</x:v>
      </x:c>
      <x:c r="BU13" s="575" t="n">
        <x:f>--(BT13&gt;3)</x:f>
        <x:v>0</x:v>
      </x:c>
      <x:c r="BV13" s="609" t="str">
        <x:v>可直接执行</x:v>
      </x:c>
      <x:c r="BW13" s="614" t="n">
        <x:f>SWITCH(BV13,"可直接执行",1,"展示具体内容并经我确认后执行",2,"每一步都必须单独审批",3,"完全不允许",4,"未映射")</x:f>
        <x:v>1</x:v>
      </x:c>
      <x:c r="BX13" s="609" t="str">
        <x:v>可直接执行</x:v>
      </x:c>
      <x:c r="BY13" s="614" t="n">
        <x:f>SWITCH(BX13,"可直接执行",1,"展示具体内容并经我确认后执行",2,"每一步都必须单独审批",3,"完全不允许",4,"未映射")</x:f>
        <x:v>1</x:v>
      </x:c>
      <x:c r="BZ13" s="609" t="str">
        <x:v>可直接执行</x:v>
      </x:c>
      <x:c r="CA13" s="614" t="n">
        <x:f>SWITCH(BZ13,"可直接执行",1,"展示具体内容并经我确认后执行",2,"每一步都必须单独审批",3,"完全不允许",4,"未映射")</x:f>
        <x:v>1</x:v>
      </x:c>
      <x:c r="CB13" s="609" t="str">
        <x:v>可直接执行</x:v>
      </x:c>
      <x:c r="CC13" s="614" t="n">
        <x:f>SWITCH(CB13,"可直接执行",1,"展示具体内容并经我确认后执行",2,"每一步都必须单独审批",3,"完全不允许",4,"未映射")</x:f>
        <x:v>1</x:v>
      </x:c>
      <x:c r="CD13" s="609" t="str">
        <x:v>展示具体内容并经我确认后执行</x:v>
      </x:c>
      <x:c r="CE13" s="614" t="n">
        <x:f>SWITCH(CD13,"可直接执行",1,"展示具体内容并经我确认后执行",2,"每一步都必须单独审批",3,"完全不允许",4,"未映射")</x:f>
        <x:v>2</x:v>
      </x:c>
      <x:c r="CF13" s="609" t="str">
        <x:v>可直接执行</x:v>
      </x:c>
      <x:c r="CG13" s="614" t="n">
        <x:f>SWITCH(CF13,"可直接执行",1,"展示具体内容并经我确认后执行",2,"每一步都必须单独审批",3,"完全不允许",4,"未映射")</x:f>
        <x:v>1</x:v>
      </x:c>
      <x:c r="CH13" s="639" t="n">
        <x:f>--AND(BY13&gt;=2,CC13&gt;=2,CE13&gt;=2)</x:f>
        <x:v>0</x:v>
      </x:c>
      <x:c r="CI13" s="679" t="str">
        <x:v>分享给导师或负责人，用于确认是否值得继续投入┋分享给同学或同事，请对方协助处理具体问题┋分享给项目成员，用于同步环境、资源或复现风险</x:v>
      </x:c>
      <x:c r="CJ13" s="684" t="n">
        <x:f>--ISNUMBER(SEARCH("分享给导师或负责人",CI13))</x:f>
        <x:v>1</x:v>
      </x:c>
      <x:c r="CK13" s="684" t="n">
        <x:f>--ISNUMBER(SEARCH("分享给同学或同事",CI13))</x:f>
        <x:v>1</x:v>
      </x:c>
      <x:c r="CL13" s="684" t="n">
        <x:f>--ISNUMBER(SEARCH("分享给项目成员",CI13))</x:f>
        <x:v>1</x:v>
      </x:c>
      <x:c r="CM13" s="684" t="n">
        <x:f>--ISNUMBER(SEARCH("仅自己查看和留存",CI13))</x:f>
        <x:v>0</x:v>
      </x:c>
      <x:c r="CN13" s="684" t="n">
        <x:f>--ISNUMBER(SEARCH("不会使用或分享这类报告",CI13))</x:f>
        <x:v>0</x:v>
      </x:c>
      <x:c r="CO13" s="684" t="n">
        <x:f>--ISNUMBER(SEARCH("其他",CI13))</x:f>
        <x:v>0</x:v>
      </x:c>
      <x:c r="CP13" s="688" t="str">
        <x:f>IF(CO13=1,IFERROR(TEXTBEFORE(TEXTAFTER(CI13,"〖"),"〗"),"未说明"),"")</x:f>
      </x:c>
      <x:c r="CQ13" s="692" t="n">
        <x:f>SUM(CJ13:CO13)</x:f>
        <x:v>3</x:v>
      </x:c>
      <x:c r="CR13" s="692" t="n">
        <x:f>SUM(CJ13:CL13)</x:f>
        <x:v>3</x:v>
      </x:c>
      <x:c r="CS13" s="692" t="n">
        <x:f>--(CR13&gt;0)</x:f>
        <x:v>1</x:v>
      </x:c>
      <x:c r="CT13" s="692" t="n">
        <x:f>--AND(CN13=1,CQ13&gt;1)</x:f>
        <x:v>0</x:v>
      </x:c>
      <x:c r="CU13"/>
      <x:c r="CV13"/>
      <x:c r="CW13"/>
      <x:c r="CX13"/>
      <x:c r="CY13"/>
      <x:c r="CZ13"/>
      <x:c r="DA13"/>
      <x:c r="DB13"/>
      <x:c r="DC13"/>
      <x:c r="DD13"/>
      <x:c r="DE13"/>
      <x:c r="DF13"/>
      <x:c r="DG13"/>
      <x:c r="DI13"/>
      <x:c r="DJ13"/>
      <x:c r="EA13"/>
      <x:c r="EB13"/>
      <x:c r="EC13"/>
      <x:c r="ED13"/>
      <x:c r="EE13"/>
      <x:c r="EF13"/>
      <x:c r="EG13"/>
      <x:c r="EH13"/>
      <x:c r="EI13"/>
      <x:c r="EJ13"/>
      <x:c r="EK13"/>
      <x:c r="EL13"/>
      <x:c r="EM13"/>
      <x:c r="EN13"/>
      <x:c r="EO13"/>
      <x:c r="EP13"/>
      <x:c r="EQ13"/>
      <x:c r="ER13"/>
      <x:c r="ES13"/>
      <x:c r="ET13"/>
      <x:c r="EU13"/>
      <x:c r="EV13"/>
      <x:c r="EW13"/>
      <x:c r="EX13"/>
      <x:c r="EY13"/>
      <x:c r="EZ13"/>
      <x:c r="FA13"/>
      <x:c r="FB13"/>
      <x:c r="FC13"/>
      <x:c r="FD13"/>
      <x:c r="FE13"/>
      <x:c r="FF13"/>
      <x:c r="FG13"/>
      <x:c r="FH13"/>
      <x:c r="FI13"/>
      <x:c r="FJ13" t="str">
        <x:v>未映射值数量</x:v>
      </x:c>
      <x:c r="FK13" t="n">
        <x:f>COUNTIF($F$2:$F$21,"未映射")</x:f>
        <x:v>0</x:v>
      </x:c>
      <x:c r="FL13"/>
      <x:c r="FM13"/>
      <x:c r="FN13" t="str">
        <x:v>数据集是否能够获得，以及是否需要申请权限┋Python、CUDA 和深度学习框架的版本要求┋所需显存、存储空间和预计运行时间</x:v>
      </x:c>
      <x:c r="FO13" t="str">
        <x:v>与冻结问卷及V0.2.1一致</x:v>
      </x:c>
    </x:row>
    <x:row r="14" ht="38" customHeight="1">
      <x:c r="A14" s="37" t="str">
        <x:v>F-014</x:v>
      </x:c>
      <x:c r="B14" s="37" t="str">
        <x:v>有效核心样本</x:v>
      </x:c>
      <x:c r="C14" s="37" t="n">
        <x:v>1</x:v>
      </x:c>
      <x:c r="D14" s="34" t="str">
        <x:v>完整跑通，并达到接近目标的结果</x:v>
      </x:c>
      <x:c r="E14" s="34" t="str">
        <x:v>1—3 天</x:v>
      </x:c>
      <x:c r="F14" s="172" t="n">
        <x:v>5</x:v>
      </x:c>
      <x:c r="G14" s="43" t="str">
        <x:v>运行训练、推理或测试</x:v>
      </x:c>
      <x:c r="H14" s="174" t="str">
        <x:v>运行训练/推理/测试</x:v>
      </x:c>
      <x:c r="I14" s="176"/>
      <x:c r="J14" s="178"/>
      <x:c r="K14" s="227" t="str">
        <x:v>排查并解决运行错误</x:v>
      </x:c>
      <x:c r="L14" s="256" t="str">
        <x:f>IF(LEFT(K14,2)="其他","其他",XLOOKUP(K14,tbl_q10_map[原始匹配值],tbl_q10_map[展示分类],"未映射"))</x:f>
        <x:v>未映射</x:v>
      </x:c>
      <x:c r="M14" s="262" t="str">
        <x:f>IF(L14&lt;&gt;"其他","",IFERROR(TEXTBEFORE(TEXTAFTER(K14,"〖"),"〗"),"未说明"))</x:f>
      </x:c>
      <x:c r="N14" s="304" t="str">
        <x:v>数据无法获得或缺少访问权限┋预训练权重缺失或与代码不兼容┋Python、CUDA 或深度学习框架版本不匹配┋关键依赖包版本冲突，例如 NumPy、mmcv、transformers 等库之间不兼容┋显存、存储空间或预计运行时间不足</x:v>
      </x:c>
      <x:c r="O14" s="331" t="n">
        <x:f>--ISNUMBER(SEARCH("未遇到以上问题",N14))</x:f>
        <x:v>0</x:v>
      </x:c>
      <x:c r="P14" s="331" t="n">
        <x:f>--ISNUMBER(SEARCH("数据无法获得或缺少访问权限",N14))</x:f>
        <x:v>1</x:v>
      </x:c>
      <x:c r="Q14" s="331" t="n">
        <x:f>--ISNUMBER(SEARCH("预训练权重缺失或与代码不兼容",N14))</x:f>
        <x:v>1</x:v>
      </x:c>
      <x:c r="R14" s="331" t="n">
        <x:f>--ISNUMBER(SEARCH("Python、CUDA 或深度学习框架版本不匹配",N14))</x:f>
        <x:v>1</x:v>
      </x:c>
      <x:c r="S14" s="331" t="n">
        <x:f>--ISNUMBER(SEARCH("关键依赖包版本冲突",N14))</x:f>
        <x:v>1</x:v>
      </x:c>
      <x:c r="T14" s="331" t="n">
        <x:f>--ISNUMBER(SEARCH("显存、存储空间或预计运行时间不足",N14))</x:f>
        <x:v>1</x:v>
      </x:c>
      <x:c r="U14" s="331" t="n">
        <x:f>--ISNUMBER(SEARCH("启动命令、配置文件或路径说明缺失",N14))</x:f>
        <x:v>0</x:v>
      </x:c>
      <x:c r="V14" s="331" t="n">
        <x:f>--ISNUMBER(SEARCH("论文与代码的评测口径不清",N14))</x:f>
        <x:v>0</x:v>
      </x:c>
      <x:c r="W14" s="331" t="n">
        <x:f>--ISNUMBER(SEARCH("许可证或使用范围受到限制",N14))</x:f>
        <x:v>0</x:v>
      </x:c>
      <x:c r="X14" s="331" t="n">
        <x:f>--ISNUMBER(SEARCH("其他",N14))</x:f>
        <x:v>0</x:v>
      </x:c>
      <x:c r="Y14" s="352" t="str">
        <x:f>IF(X14&lt;&gt;1,"",IFERROR(TEXTBEFORE(TEXTAFTER(N14,"〖"),"〗"),"未说明"))</x:f>
      </x:c>
      <x:c r="Z14" s="334" t="n">
        <x:f>SUM(O14:X14)</x:f>
        <x:v>5</x:v>
      </x:c>
      <x:c r="AA14" s="334" t="n">
        <x:f>SUM(P14:X14)</x:f>
        <x:v>5</x:v>
      </x:c>
      <x:c r="AB14" s="334" t="n">
        <x:f>--(AA14&gt;0)</x:f>
        <x:v>1</x:v>
      </x:c>
      <x:c r="AC14" s="343" t="n">
        <x:f>--AND(O14=1,AA14&gt;0)</x:f>
        <x:v>0</x:v>
      </x:c>
      <x:c r="AD14" s="396" t="str">
        <x:v>搜索引擎┋通用大模型或 AI 助手┋GitHub Issue/Discussion</x:v>
      </x:c>
      <x:c r="AE14" s="415" t="n">
        <x:f>--ISNUMBER(SEARCH("搜索引擎",AD14))</x:f>
        <x:v>1</x:v>
      </x:c>
      <x:c r="AF14" s="415" t="n">
        <x:f>--ISNUMBER(SEARCH("通用大模型或 AI 助手",AD14))</x:f>
        <x:v>1</x:v>
      </x:c>
      <x:c r="AG14" s="415" t="n">
        <x:f>--ISNUMBER(SEARCH("GitHub Issue/Discussion",AD14))</x:f>
        <x:v>1</x:v>
      </x:c>
      <x:c r="AH14" s="415" t="n">
        <x:f>--ISNUMBER(SEARCH("阅读 README、文档或源码",AD14))</x:f>
        <x:v>0</x:v>
      </x:c>
      <x:c r="AI14" s="415" t="n">
        <x:f>--ISNUMBER(SEARCH("复现博客、教程或视频",AD14))</x:f>
        <x:v>0</x:v>
      </x:c>
      <x:c r="AJ14" s="415" t="n">
        <x:f>--ISNUMBER(SEARCH("询问同学、同事或导师",AD14))</x:f>
        <x:v>0</x:v>
      </x:c>
      <x:c r="AK14" s="415" t="n">
        <x:f>--ISNUMBER(SEARCH("没有使用以上方式",AD14))</x:f>
        <x:v>0</x:v>
      </x:c>
      <x:c r="AL14" s="415" t="n">
        <x:f>--ISNUMBER(SEARCH("其他",AD14))</x:f>
        <x:v>0</x:v>
      </x:c>
      <x:c r="AM14" s="440" t="str">
        <x:f>IF(AL14&lt;&gt;1,"",IFERROR(TEXTBEFORE(TEXTAFTER(AD14,"〖"),"〗"),"未说明"))</x:f>
      </x:c>
      <x:c r="AN14" s="426" t="n">
        <x:f>SUM(AE14:AJ14)+AL14</x:f>
        <x:v>3</x:v>
      </x:c>
      <x:c r="AO14" s="426" t="n">
        <x:f>AN14+AK14</x:f>
        <x:v>3</x:v>
      </x:c>
      <x:c r="AP14" s="426" t="n">
        <x:f>--(AN14&gt;0)</x:f>
        <x:v>1</x:v>
      </x:c>
      <x:c r="AQ14" s="426" t="n">
        <x:f>--AND(AK14=1,AN14&gt;0)</x:f>
        <x:v>0</x:v>
      </x:c>
      <x:c r="AR14" s="496" t="str">
        <x:v>信息分散，需要反复查找和拼接┋结论缺少来源或证据，难以判断是否可信┋建议过于泛化，无法直接用于当前项目</x:v>
      </x:c>
      <x:c r="AS14" s="415" t="n">
        <x:f>--ISNUMBER(SEARCH("没有明显不足",AR14))</x:f>
        <x:v>0</x:v>
      </x:c>
      <x:c r="AT14" s="415" t="n">
        <x:f>--ISNUMBER(SEARCH("信息分散，需要反复查找和拼接",AR14))</x:f>
        <x:v>1</x:v>
      </x:c>
      <x:c r="AU14" s="415" t="n">
        <x:f>--ISNUMBER(SEARCH("结论缺少来源或证据，难以判断是否可信",AR14))</x:f>
        <x:v>1</x:v>
      </x:c>
      <x:c r="AV14" s="415" t="n">
        <x:f>--ISNUMBER(SEARCH("建议过于泛化，无法直接用于当前项目",AR14))</x:f>
        <x:v>1</x:v>
      </x:c>
      <x:c r="AW14" s="415" t="n">
        <x:f>--ISNUMBER(SEARCH("不了解我的硬件、系统或软件环境",AR14))</x:f>
        <x:v>0</x:v>
      </x:c>
      <x:c r="AX14" s="415" t="n">
        <x:f>--ISNUMBER(SEARCH("没有说明操作步骤的先后顺序",AR14))</x:f>
        <x:v>0</x:v>
      </x:c>
      <x:c r="AY14" s="415" t="n">
        <x:f>--ISNUMBER(SEARCH("对覆盖文件、删除文件等高风险操作缺少提醒",AR14))</x:f>
        <x:v>0</x:v>
      </x:c>
      <x:c r="AZ14" s="415" t="n">
        <x:f>--ISNUMBER(SEARCH("难以保存和延续此前的排错上下文",AR14))</x:f>
        <x:v>0</x:v>
      </x:c>
      <x:c r="BA14" s="415" t="n">
        <x:f>--ISNUMBER(SEARCH("相同问题得到的回答不稳定",AR14))</x:f>
        <x:v>0</x:v>
      </x:c>
      <x:c r="BB14" s="415" t="n">
        <x:f>--ISNUMBER(SEARCH("其他",AR14))</x:f>
        <x:v>0</x:v>
      </x:c>
      <x:c r="BC14" s="501" t="str">
        <x:f>IF(BB14=1,IFERROR(TEXTBEFORE(TEXTAFTER(AR14,"〖"),"〗"),"未说明"),"")</x:f>
      </x:c>
      <x:c r="BD14" s="426" t="n">
        <x:f>SUM(AT14:BB14)</x:f>
        <x:v>3</x:v>
      </x:c>
      <x:c r="BE14" s="426" t="n">
        <x:f>BD14+AS14</x:f>
        <x:v>3</x:v>
      </x:c>
      <x:c r="BF14" s="426" t="n">
        <x:f>--(BD14&gt;0)</x:f>
        <x:v>1</x:v>
      </x:c>
      <x:c r="BG14" s="426" t="n">
        <x:f>--AND(AS14=1,BD14&gt;0)</x:f>
        <x:v>0</x:v>
      </x:c>
      <x:c r="BH14" s="564" t="str">
        <x:v>数据集是否能够获得，以及是否需要申请权限┋是否提供可用的预训练权重┋Python、CUDA 和深度学习框架的版本要求</x:v>
      </x:c>
      <x:c r="BI14" s="575" t="n">
        <x:f>--ISNUMBER(SEARCH("数据集是否能够获得，以及是否需要申请权限",BH14))</x:f>
        <x:v>1</x:v>
      </x:c>
      <x:c r="BJ14" s="575" t="n">
        <x:f>--ISNUMBER(SEARCH("是否提供可用的预训练权重",BH14))</x:f>
        <x:v>1</x:v>
      </x:c>
      <x:c r="BK14" s="575" t="n">
        <x:f>--ISNUMBER(SEARCH("Python、CUDA 和深度学习框架的版本要求",BH14))</x:f>
        <x:v>1</x:v>
      </x:c>
      <x:c r="BL14" s="575" t="n">
        <x:f>--ISNUMBER(SEARCH("所需显存、存储空间和预计运行时间",BH14))</x:f>
        <x:v>0</x:v>
      </x:c>
      <x:c r="BM14" s="575" t="n">
        <x:f>--ISNUMBER(SEARCH("启动命令、配置文件和关键路径是否完整",BH14))</x:f>
        <x:v>0</x:v>
      </x:c>
      <x:c r="BN14" s="575" t="n">
        <x:f>--ISNUMBER(SEARCH("论文与代码的评测指标和实验口径是否一致",BH14))</x:f>
        <x:v>0</x:v>
      </x:c>
      <x:c r="BO14" s="575" t="n">
        <x:f>--ISNUMBER(SEARCH("项目许可证和允许使用的范围",BH14))</x:f>
        <x:v>0</x:v>
      </x:c>
      <x:c r="BP14" s="575" t="n">
        <x:f>--ISNUMBER(SEARCH("可能导致复现失败的关键风险",BH14))</x:f>
        <x:v>0</x:v>
      </x:c>
      <x:c r="BQ14" s="575" t="n">
        <x:f>--ISNUMBER(SEARCH("当前情况下最适合执行的第一步",BH14))</x:f>
        <x:v>0</x:v>
      </x:c>
      <x:c r="BR14" s="575" t="n">
        <x:f>--ISNUMBER(SEARCH("其他",BH14))</x:f>
        <x:v>0</x:v>
      </x:c>
      <x:c r="BS14" s="575" t="str">
        <x:f>IF(BR14=1,IFERROR(TEXTBEFORE(TEXTAFTER(BH14,"〖"),"〗"),"未说明"),"")</x:f>
      </x:c>
      <x:c r="BT14" s="575" t="n">
        <x:f>SUM(BI14:BR14)</x:f>
        <x:v>3</x:v>
      </x:c>
      <x:c r="BU14" s="575" t="n">
        <x:f>--(BT14&gt;3)</x:f>
        <x:v>0</x:v>
      </x:c>
      <x:c r="BV14" s="609" t="str">
        <x:v>可直接执行</x:v>
      </x:c>
      <x:c r="BW14" s="614" t="n">
        <x:f>SWITCH(BV14,"可直接执行",1,"展示具体内容并经我确认后执行",2,"每一步都必须单独审批",3,"完全不允许",4,"未映射")</x:f>
        <x:v>1</x:v>
      </x:c>
      <x:c r="BX14" s="609" t="str">
        <x:v>可直接执行</x:v>
      </x:c>
      <x:c r="BY14" s="614" t="n">
        <x:f>SWITCH(BX14,"可直接执行",1,"展示具体内容并经我确认后执行",2,"每一步都必须单独审批",3,"完全不允许",4,"未映射")</x:f>
        <x:v>1</x:v>
      </x:c>
      <x:c r="BZ14" s="609" t="str">
        <x:v>可直接执行</x:v>
      </x:c>
      <x:c r="CA14" s="614" t="n">
        <x:f>SWITCH(BZ14,"可直接执行",1,"展示具体内容并经我确认后执行",2,"每一步都必须单独审批",3,"完全不允许",4,"未映射")</x:f>
        <x:v>1</x:v>
      </x:c>
      <x:c r="CB14" s="609" t="str">
        <x:v>完全不允许</x:v>
      </x:c>
      <x:c r="CC14" s="614" t="n">
        <x:f>SWITCH(CB14,"可直接执行",1,"展示具体内容并经我确认后执行",2,"每一步都必须单独审批",3,"完全不允许",4,"未映射")</x:f>
        <x:v>4</x:v>
      </x:c>
      <x:c r="CD14" s="609" t="str">
        <x:v>完全不允许</x:v>
      </x:c>
      <x:c r="CE14" s="614" t="n">
        <x:f>SWITCH(CD14,"可直接执行",1,"展示具体内容并经我确认后执行",2,"每一步都必须单独审批",3,"完全不允许",4,"未映射")</x:f>
        <x:v>4</x:v>
      </x:c>
      <x:c r="CF14" s="609" t="str">
        <x:v>可直接执行</x:v>
      </x:c>
      <x:c r="CG14" s="614" t="n">
        <x:f>SWITCH(CF14,"可直接执行",1,"展示具体内容并经我确认后执行",2,"每一步都必须单独审批",3,"完全不允许",4,"未映射")</x:f>
        <x:v>1</x:v>
      </x:c>
      <x:c r="CH14" s="639" t="n">
        <x:f>--AND(BY14&gt;=2,CC14&gt;=2,CE14&gt;=2)</x:f>
        <x:v>0</x:v>
      </x:c>
      <x:c r="CI14" s="679" t="str">
        <x:v>分享给导师或负责人，用于确认是否值得继续投入┋分享给同学或同事，请对方协助处理具体问题┋分享给项目成员，用于同步环境、资源或复现风险┋仅自己查看和留存</x:v>
      </x:c>
      <x:c r="CJ14" s="684" t="n">
        <x:f>--ISNUMBER(SEARCH("分享给导师或负责人",CI14))</x:f>
        <x:v>1</x:v>
      </x:c>
      <x:c r="CK14" s="684" t="n">
        <x:f>--ISNUMBER(SEARCH("分享给同学或同事",CI14))</x:f>
        <x:v>1</x:v>
      </x:c>
      <x:c r="CL14" s="684" t="n">
        <x:f>--ISNUMBER(SEARCH("分享给项目成员",CI14))</x:f>
        <x:v>1</x:v>
      </x:c>
      <x:c r="CM14" s="684" t="n">
        <x:f>--ISNUMBER(SEARCH("仅自己查看和留存",CI14))</x:f>
        <x:v>1</x:v>
      </x:c>
      <x:c r="CN14" s="684" t="n">
        <x:f>--ISNUMBER(SEARCH("不会使用或分享这类报告",CI14))</x:f>
        <x:v>0</x:v>
      </x:c>
      <x:c r="CO14" s="684" t="n">
        <x:f>--ISNUMBER(SEARCH("其他",CI14))</x:f>
        <x:v>0</x:v>
      </x:c>
      <x:c r="CP14" s="688" t="str">
        <x:f>IF(CO14=1,IFERROR(TEXTBEFORE(TEXTAFTER(CI14,"〖"),"〗"),"未说明"),"")</x:f>
      </x:c>
      <x:c r="CQ14" s="692" t="n">
        <x:f>SUM(CJ14:CO14)</x:f>
        <x:v>4</x:v>
      </x:c>
      <x:c r="CR14" s="692" t="n">
        <x:f>SUM(CJ14:CL14)</x:f>
        <x:v>3</x:v>
      </x:c>
      <x:c r="CS14" s="692" t="n">
        <x:f>--(CR14&gt;0)</x:f>
        <x:v>1</x:v>
      </x:c>
      <x:c r="CT14" s="692" t="n">
        <x:f>--AND(CN14=1,CQ14&gt;1)</x:f>
        <x:v>0</x:v>
      </x:c>
      <x:c r="CU14"/>
      <x:c r="CV14"/>
      <x:c r="CW14"/>
      <x:c r="CX14"/>
      <x:c r="CY14"/>
      <x:c r="CZ14"/>
      <x:c r="DA14"/>
      <x:c r="DB14"/>
      <x:c r="DC14"/>
      <x:c r="DD14"/>
      <x:c r="DE14"/>
      <x:c r="DF14"/>
      <x:c r="DG14"/>
      <x:c r="DI14"/>
      <x:c r="DJ14"/>
      <x:c r="EA14"/>
      <x:c r="EB14"/>
      <x:c r="EC14"/>
      <x:c r="ED14"/>
      <x:c r="EE14"/>
      <x:c r="EF14"/>
      <x:c r="EG14"/>
      <x:c r="EH14"/>
      <x:c r="EI14"/>
      <x:c r="EJ14"/>
      <x:c r="EK14"/>
      <x:c r="EL14"/>
      <x:c r="EM14"/>
      <x:c r="EN14"/>
      <x:c r="EO14"/>
      <x:c r="EP14"/>
      <x:c r="EQ14"/>
      <x:c r="ER14"/>
      <x:c r="ES14"/>
      <x:c r="ET14"/>
      <x:c r="EU14"/>
      <x:c r="EV14"/>
      <x:c r="EW14"/>
      <x:c r="EX14"/>
      <x:c r="EY14"/>
      <x:c r="EZ14"/>
      <x:c r="FA14"/>
      <x:c r="FB14"/>
      <x:c r="FC14"/>
      <x:c r="FD14"/>
      <x:c r="FE14"/>
      <x:c r="FF14"/>
      <x:c r="FG14"/>
      <x:c r="FH14"/>
      <x:c r="FI14"/>
      <x:c r="FJ14" t="str">
        <x:v>Q8原始空值数量</x:v>
      </x:c>
      <x:c r="FK14" t="n">
        <x:f>COUNTBLANK($E$2:$E$21)</x:f>
        <x:v>0</x:v>
      </x:c>
      <x:c r="FL14"/>
      <x:c r="FM14"/>
      <x:c r="FN14" t="str">
        <x:v>Python、CUDA 和深度学习框架的版本要求┋论文与代码的评测指标和实验口径是否一致┋可能导致复现失败的关键风险</x:v>
      </x:c>
      <x:c r="FO14" t="str">
        <x:v>与冻结问卷及V0.2.1一致</x:v>
      </x:c>
    </x:row>
    <x:row r="15" ht="38" customHeight="1">
      <x:c r="A15" s="37" t="str">
        <x:v>F-015</x:v>
      </x:c>
      <x:c r="B15" s="37" t="str">
        <x:v>有效核心样本</x:v>
      </x:c>
      <x:c r="C15" s="37" t="n">
        <x:v>1</x:v>
      </x:c>
      <x:c r="D15" s="34" t="str">
        <x:v>完整跑通，并达到接近目标的结果</x:v>
      </x:c>
      <x:c r="E15" s="34" t="str">
        <x:v>4—8 小时</x:v>
      </x:c>
      <x:c r="F15" s="172" t="n">
        <x:v>4</x:v>
      </x:c>
      <x:c r="G15" s="43" t="str">
        <x:v>运行训练、推理或测试</x:v>
      </x:c>
      <x:c r="H15" s="174" t="str">
        <x:v>运行训练/推理/测试</x:v>
      </x:c>
      <x:c r="I15" s="176"/>
      <x:c r="J15" s="178"/>
      <x:c r="K15" s="227" t="str">
        <x:v>排查并解决运行错误</x:v>
      </x:c>
      <x:c r="L15" s="256" t="str">
        <x:f>IF(LEFT(K15,2)="其他","其他",XLOOKUP(K15,tbl_q10_map[原始匹配值],tbl_q10_map[展示分类],"未映射"))</x:f>
        <x:v>未映射</x:v>
      </x:c>
      <x:c r="M15" s="262" t="str">
        <x:f>IF(L15&lt;&gt;"其他","",IFERROR(TEXTBEFORE(TEXTAFTER(K15,"〖"),"〗"),"未说明"))</x:f>
      </x:c>
      <x:c r="N15" s="304" t="str">
        <x:v>数据无法获得或缺少访问权限┋显存、存储空间或预计运行时间不足┋启动命令、配置文件或路径说明缺失</x:v>
      </x:c>
      <x:c r="O15" s="331" t="n">
        <x:f>--ISNUMBER(SEARCH("未遇到以上问题",N15))</x:f>
        <x:v>0</x:v>
      </x:c>
      <x:c r="P15" s="331" t="n">
        <x:f>--ISNUMBER(SEARCH("数据无法获得或缺少访问权限",N15))</x:f>
        <x:v>1</x:v>
      </x:c>
      <x:c r="Q15" s="331" t="n">
        <x:f>--ISNUMBER(SEARCH("预训练权重缺失或与代码不兼容",N15))</x:f>
        <x:v>0</x:v>
      </x:c>
      <x:c r="R15" s="331" t="n">
        <x:f>--ISNUMBER(SEARCH("Python、CUDA 或深度学习框架版本不匹配",N15))</x:f>
        <x:v>0</x:v>
      </x:c>
      <x:c r="S15" s="331" t="n">
        <x:f>--ISNUMBER(SEARCH("关键依赖包版本冲突",N15))</x:f>
        <x:v>0</x:v>
      </x:c>
      <x:c r="T15" s="331" t="n">
        <x:f>--ISNUMBER(SEARCH("显存、存储空间或预计运行时间不足",N15))</x:f>
        <x:v>1</x:v>
      </x:c>
      <x:c r="U15" s="331" t="n">
        <x:f>--ISNUMBER(SEARCH("启动命令、配置文件或路径说明缺失",N15))</x:f>
        <x:v>1</x:v>
      </x:c>
      <x:c r="V15" s="331" t="n">
        <x:f>--ISNUMBER(SEARCH("论文与代码的评测口径不清",N15))</x:f>
        <x:v>0</x:v>
      </x:c>
      <x:c r="W15" s="331" t="n">
        <x:f>--ISNUMBER(SEARCH("许可证或使用范围受到限制",N15))</x:f>
        <x:v>0</x:v>
      </x:c>
      <x:c r="X15" s="331" t="n">
        <x:f>--ISNUMBER(SEARCH("其他",N15))</x:f>
        <x:v>0</x:v>
      </x:c>
      <x:c r="Y15" s="352" t="str">
        <x:f>IF(X15&lt;&gt;1,"",IFERROR(TEXTBEFORE(TEXTAFTER(N15,"〖"),"〗"),"未说明"))</x:f>
      </x:c>
      <x:c r="Z15" s="334" t="n">
        <x:f>SUM(O15:X15)</x:f>
        <x:v>3</x:v>
      </x:c>
      <x:c r="AA15" s="334" t="n">
        <x:f>SUM(P15:X15)</x:f>
        <x:v>3</x:v>
      </x:c>
      <x:c r="AB15" s="334" t="n">
        <x:f>--(AA15&gt;0)</x:f>
        <x:v>1</x:v>
      </x:c>
      <x:c r="AC15" s="343" t="n">
        <x:f>--AND(O15=1,AA15&gt;0)</x:f>
        <x:v>0</x:v>
      </x:c>
      <x:c r="AD15" s="396" t="str">
        <x:v>通用大模型或 AI 助手┋阅读 README、文档或源码</x:v>
      </x:c>
      <x:c r="AE15" s="415" t="n">
        <x:f>--ISNUMBER(SEARCH("搜索引擎",AD15))</x:f>
        <x:v>0</x:v>
      </x:c>
      <x:c r="AF15" s="415" t="n">
        <x:f>--ISNUMBER(SEARCH("通用大模型或 AI 助手",AD15))</x:f>
        <x:v>1</x:v>
      </x:c>
      <x:c r="AG15" s="415" t="n">
        <x:f>--ISNUMBER(SEARCH("GitHub Issue/Discussion",AD15))</x:f>
        <x:v>0</x:v>
      </x:c>
      <x:c r="AH15" s="415" t="n">
        <x:f>--ISNUMBER(SEARCH("阅读 README、文档或源码",AD15))</x:f>
        <x:v>1</x:v>
      </x:c>
      <x:c r="AI15" s="415" t="n">
        <x:f>--ISNUMBER(SEARCH("复现博客、教程或视频",AD15))</x:f>
        <x:v>0</x:v>
      </x:c>
      <x:c r="AJ15" s="415" t="n">
        <x:f>--ISNUMBER(SEARCH("询问同学、同事或导师",AD15))</x:f>
        <x:v>0</x:v>
      </x:c>
      <x:c r="AK15" s="415" t="n">
        <x:f>--ISNUMBER(SEARCH("没有使用以上方式",AD15))</x:f>
        <x:v>0</x:v>
      </x:c>
      <x:c r="AL15" s="415" t="n">
        <x:f>--ISNUMBER(SEARCH("其他",AD15))</x:f>
        <x:v>0</x:v>
      </x:c>
      <x:c r="AM15" s="440" t="str">
        <x:f>IF(AL15&lt;&gt;1,"",IFERROR(TEXTBEFORE(TEXTAFTER(AD15,"〖"),"〗"),"未说明"))</x:f>
      </x:c>
      <x:c r="AN15" s="426" t="n">
        <x:f>SUM(AE15:AJ15)+AL15</x:f>
        <x:v>2</x:v>
      </x:c>
      <x:c r="AO15" s="426" t="n">
        <x:f>AN15+AK15</x:f>
        <x:v>2</x:v>
      </x:c>
      <x:c r="AP15" s="426" t="n">
        <x:f>--(AN15&gt;0)</x:f>
        <x:v>1</x:v>
      </x:c>
      <x:c r="AQ15" s="426" t="n">
        <x:f>--AND(AK15=1,AN15&gt;0)</x:f>
        <x:v>0</x:v>
      </x:c>
      <x:c r="AR15" s="496" t="str">
        <x:v>信息分散，需要反复查找和拼接┋结论缺少来源或证据，难以判断是否可信┋不了解我的硬件、系统或软件环境</x:v>
      </x:c>
      <x:c r="AS15" s="415" t="n">
        <x:f>--ISNUMBER(SEARCH("没有明显不足",AR15))</x:f>
        <x:v>0</x:v>
      </x:c>
      <x:c r="AT15" s="415" t="n">
        <x:f>--ISNUMBER(SEARCH("信息分散，需要反复查找和拼接",AR15))</x:f>
        <x:v>1</x:v>
      </x:c>
      <x:c r="AU15" s="415" t="n">
        <x:f>--ISNUMBER(SEARCH("结论缺少来源或证据，难以判断是否可信",AR15))</x:f>
        <x:v>1</x:v>
      </x:c>
      <x:c r="AV15" s="415" t="n">
        <x:f>--ISNUMBER(SEARCH("建议过于泛化，无法直接用于当前项目",AR15))</x:f>
        <x:v>0</x:v>
      </x:c>
      <x:c r="AW15" s="415" t="n">
        <x:f>--ISNUMBER(SEARCH("不了解我的硬件、系统或软件环境",AR15))</x:f>
        <x:v>1</x:v>
      </x:c>
      <x:c r="AX15" s="415" t="n">
        <x:f>--ISNUMBER(SEARCH("没有说明操作步骤的先后顺序",AR15))</x:f>
        <x:v>0</x:v>
      </x:c>
      <x:c r="AY15" s="415" t="n">
        <x:f>--ISNUMBER(SEARCH("对覆盖文件、删除文件等高风险操作缺少提醒",AR15))</x:f>
        <x:v>0</x:v>
      </x:c>
      <x:c r="AZ15" s="415" t="n">
        <x:f>--ISNUMBER(SEARCH("难以保存和延续此前的排错上下文",AR15))</x:f>
        <x:v>0</x:v>
      </x:c>
      <x:c r="BA15" s="415" t="n">
        <x:f>--ISNUMBER(SEARCH("相同问题得到的回答不稳定",AR15))</x:f>
        <x:v>0</x:v>
      </x:c>
      <x:c r="BB15" s="415" t="n">
        <x:f>--ISNUMBER(SEARCH("其他",AR15))</x:f>
        <x:v>0</x:v>
      </x:c>
      <x:c r="BC15" s="501" t="str">
        <x:f>IF(BB15=1,IFERROR(TEXTBEFORE(TEXTAFTER(AR15,"〖"),"〗"),"未说明"),"")</x:f>
      </x:c>
      <x:c r="BD15" s="426" t="n">
        <x:f>SUM(AT15:BB15)</x:f>
        <x:v>3</x:v>
      </x:c>
      <x:c r="BE15" s="426" t="n">
        <x:f>BD15+AS15</x:f>
        <x:v>3</x:v>
      </x:c>
      <x:c r="BF15" s="426" t="n">
        <x:f>--(BD15&gt;0)</x:f>
        <x:v>1</x:v>
      </x:c>
      <x:c r="BG15" s="426" t="n">
        <x:f>--AND(AS15=1,BD15&gt;0)</x:f>
        <x:v>0</x:v>
      </x:c>
      <x:c r="BH15" s="564" t="str">
        <x:v>数据集是否能够获得，以及是否需要申请权限┋所需显存、存储空间和预计运行时间┋启动命令、配置文件和关键路径是否完整</x:v>
      </x:c>
      <x:c r="BI15" s="575" t="n">
        <x:f>--ISNUMBER(SEARCH("数据集是否能够获得，以及是否需要申请权限",BH15))</x:f>
        <x:v>1</x:v>
      </x:c>
      <x:c r="BJ15" s="575" t="n">
        <x:f>--ISNUMBER(SEARCH("是否提供可用的预训练权重",BH15))</x:f>
        <x:v>0</x:v>
      </x:c>
      <x:c r="BK15" s="575" t="n">
        <x:f>--ISNUMBER(SEARCH("Python、CUDA 和深度学习框架的版本要求",BH15))</x:f>
        <x:v>0</x:v>
      </x:c>
      <x:c r="BL15" s="575" t="n">
        <x:f>--ISNUMBER(SEARCH("所需显存、存储空间和预计运行时间",BH15))</x:f>
        <x:v>1</x:v>
      </x:c>
      <x:c r="BM15" s="575" t="n">
        <x:f>--ISNUMBER(SEARCH("启动命令、配置文件和关键路径是否完整",BH15))</x:f>
        <x:v>1</x:v>
      </x:c>
      <x:c r="BN15" s="575" t="n">
        <x:f>--ISNUMBER(SEARCH("论文与代码的评测指标和实验口径是否一致",BH15))</x:f>
        <x:v>0</x:v>
      </x:c>
      <x:c r="BO15" s="575" t="n">
        <x:f>--ISNUMBER(SEARCH("项目许可证和允许使用的范围",BH15))</x:f>
        <x:v>0</x:v>
      </x:c>
      <x:c r="BP15" s="575" t="n">
        <x:f>--ISNUMBER(SEARCH("可能导致复现失败的关键风险",BH15))</x:f>
        <x:v>0</x:v>
      </x:c>
      <x:c r="BQ15" s="575" t="n">
        <x:f>--ISNUMBER(SEARCH("当前情况下最适合执行的第一步",BH15))</x:f>
        <x:v>0</x:v>
      </x:c>
      <x:c r="BR15" s="575" t="n">
        <x:f>--ISNUMBER(SEARCH("其他",BH15))</x:f>
        <x:v>0</x:v>
      </x:c>
      <x:c r="BS15" s="575" t="str">
        <x:f>IF(BR15=1,IFERROR(TEXTBEFORE(TEXTAFTER(BH15,"〖"),"〗"),"未说明"),"")</x:f>
      </x:c>
      <x:c r="BT15" s="575" t="n">
        <x:f>SUM(BI15:BR15)</x:f>
        <x:v>3</x:v>
      </x:c>
      <x:c r="BU15" s="575" t="n">
        <x:f>--(BT15&gt;3)</x:f>
        <x:v>0</x:v>
      </x:c>
      <x:c r="BV15" s="609" t="str">
        <x:v>可直接执行</x:v>
      </x:c>
      <x:c r="BW15" s="614" t="n">
        <x:f>SWITCH(BV15,"可直接执行",1,"展示具体内容并经我确认后执行",2,"每一步都必须单独审批",3,"完全不允许",4,"未映射")</x:f>
        <x:v>1</x:v>
      </x:c>
      <x:c r="BX15" s="609" t="str">
        <x:v>可直接执行</x:v>
      </x:c>
      <x:c r="BY15" s="614" t="n">
        <x:f>SWITCH(BX15,"可直接执行",1,"展示具体内容并经我确认后执行",2,"每一步都必须单独审批",3,"完全不允许",4,"未映射")</x:f>
        <x:v>1</x:v>
      </x:c>
      <x:c r="BZ15" s="609" t="str">
        <x:v>展示具体内容并经我确认后执行</x:v>
      </x:c>
      <x:c r="CA15" s="614" t="n">
        <x:f>SWITCH(BZ15,"可直接执行",1,"展示具体内容并经我确认后执行",2,"每一步都必须单独审批",3,"完全不允许",4,"未映射")</x:f>
        <x:v>2</x:v>
      </x:c>
      <x:c r="CB15" s="609" t="str">
        <x:v>每一步都必须单独审批</x:v>
      </x:c>
      <x:c r="CC15" s="614" t="n">
        <x:f>SWITCH(CB15,"可直接执行",1,"展示具体内容并经我确认后执行",2,"每一步都必须单独审批",3,"完全不允许",4,"未映射")</x:f>
        <x:v>3</x:v>
      </x:c>
      <x:c r="CD15" s="609" t="str">
        <x:v>每一步都必须单独审批</x:v>
      </x:c>
      <x:c r="CE15" s="614" t="n">
        <x:f>SWITCH(CD15,"可直接执行",1,"展示具体内容并经我确认后执行",2,"每一步都必须单独审批",3,"完全不允许",4,"未映射")</x:f>
        <x:v>3</x:v>
      </x:c>
      <x:c r="CF15" s="609" t="str">
        <x:v>展示具体内容并经我确认后执行</x:v>
      </x:c>
      <x:c r="CG15" s="614" t="n">
        <x:f>SWITCH(CF15,"可直接执行",1,"展示具体内容并经我确认后执行",2,"每一步都必须单独审批",3,"完全不允许",4,"未映射")</x:f>
        <x:v>2</x:v>
      </x:c>
      <x:c r="CH15" s="639" t="n">
        <x:f>--AND(BY15&gt;=2,CC15&gt;=2,CE15&gt;=2)</x:f>
        <x:v>0</x:v>
      </x:c>
      <x:c r="CI15" s="679" t="str">
        <x:v>分享给导师或负责人，用于确认是否值得继续投入┋分享给项目成员，用于同步环境、资源或复现风险┋仅自己查看和留存</x:v>
      </x:c>
      <x:c r="CJ15" s="684" t="n">
        <x:f>--ISNUMBER(SEARCH("分享给导师或负责人",CI15))</x:f>
        <x:v>1</x:v>
      </x:c>
      <x:c r="CK15" s="684" t="n">
        <x:f>--ISNUMBER(SEARCH("分享给同学或同事",CI15))</x:f>
        <x:v>0</x:v>
      </x:c>
      <x:c r="CL15" s="684" t="n">
        <x:f>--ISNUMBER(SEARCH("分享给项目成员",CI15))</x:f>
        <x:v>1</x:v>
      </x:c>
      <x:c r="CM15" s="684" t="n">
        <x:f>--ISNUMBER(SEARCH("仅自己查看和留存",CI15))</x:f>
        <x:v>1</x:v>
      </x:c>
      <x:c r="CN15" s="684" t="n">
        <x:f>--ISNUMBER(SEARCH("不会使用或分享这类报告",CI15))</x:f>
        <x:v>0</x:v>
      </x:c>
      <x:c r="CO15" s="684" t="n">
        <x:f>--ISNUMBER(SEARCH("其他",CI15))</x:f>
        <x:v>0</x:v>
      </x:c>
      <x:c r="CP15" s="688" t="str">
        <x:f>IF(CO15=1,IFERROR(TEXTBEFORE(TEXTAFTER(CI15,"〖"),"〗"),"未说明"),"")</x:f>
      </x:c>
      <x:c r="CQ15" s="692" t="n">
        <x:f>SUM(CJ15:CO15)</x:f>
        <x:v>3</x:v>
      </x:c>
      <x:c r="CR15" s="692" t="n">
        <x:f>SUM(CJ15:CL15)</x:f>
        <x:v>2</x:v>
      </x:c>
      <x:c r="CS15" s="692" t="n">
        <x:f>--(CR15&gt;0)</x:f>
        <x:v>1</x:v>
      </x:c>
      <x:c r="CT15" s="692" t="n">
        <x:f>--AND(CN15=1,CQ15&gt;1)</x:f>
        <x:v>0</x:v>
      </x:c>
      <x:c r="CU15"/>
      <x:c r="CV15"/>
      <x:c r="CW15"/>
      <x:c r="CX15"/>
      <x:c r="CY15"/>
      <x:c r="CZ15"/>
      <x:c r="DA15"/>
      <x:c r="DB15"/>
      <x:c r="DC15"/>
      <x:c r="DD15"/>
      <x:c r="DE15"/>
      <x:c r="DF15"/>
      <x:c r="DG15"/>
      <x:c r="DI15"/>
      <x:c r="DJ15"/>
      <x:c r="EA15"/>
      <x:c r="EB15"/>
      <x:c r="EC15"/>
      <x:c r="ED15"/>
      <x:c r="EE15"/>
      <x:c r="EF15"/>
      <x:c r="EG15"/>
      <x:c r="EH15"/>
      <x:c r="EI15"/>
      <x:c r="EJ15"/>
      <x:c r="EK15"/>
      <x:c r="EL15"/>
      <x:c r="EM15"/>
      <x:c r="EN15"/>
      <x:c r="EO15"/>
      <x:c r="EP15"/>
      <x:c r="EQ15"/>
      <x:c r="ER15"/>
      <x:c r="ES15"/>
      <x:c r="ET15"/>
      <x:c r="EU15"/>
      <x:c r="EV15"/>
      <x:c r="EW15"/>
      <x:c r="EX15"/>
      <x:c r="EY15" t="n">
        <x:v>0</x:v>
      </x:c>
      <x:c r="EZ15"/>
      <x:c r="FA15" t="n">
        <x:v>0</x:v>
      </x:c>
      <x:c r="FB15"/>
      <x:c r="FC15"/>
      <x:c r="FD15"/>
      <x:c r="FE15"/>
      <x:c r="FF15"/>
      <x:c r="FG15"/>
      <x:c r="FH15"/>
      <x:c r="FI15"/>
      <x:c r="FJ15"/>
      <x:c r="FK15"/>
      <x:c r="FL15"/>
      <x:c r="FM15"/>
      <x:c r="FN15"/>
      <x:c r="FO15"/>
    </x:row>
    <x:row r="16" ht="38" customHeight="1">
      <x:c r="A16" s="37" t="str">
        <x:v>F-018</x:v>
      </x:c>
      <x:c r="B16" s="37" t="str">
        <x:v>有效核心样本</x:v>
      </x:c>
      <x:c r="C16" s="37" t="n">
        <x:v>1</x:v>
      </x:c>
      <x:c r="D16" s="34" t="str">
        <x:v>只跑通了部分流程</x:v>
      </x:c>
      <x:c r="E16" s="34" t="str">
        <x:v>4—7 天</x:v>
      </x:c>
      <x:c r="F16" s="172" t="n">
        <x:v>6</x:v>
      </x:c>
      <x:c r="G16" s="43" t="str">
        <x:v>运行训练、推理或测试</x:v>
      </x:c>
      <x:c r="H16" s="174" t="str">
        <x:v>运行训练/推理/测试</x:v>
      </x:c>
      <x:c r="I16" s="176"/>
      <x:c r="J16" s="178"/>
      <x:c r="K16" s="227" t="str">
        <x:v>安装依赖并配置软件环境</x:v>
      </x:c>
      <x:c r="L16" s="256" t="str">
        <x:f>IF(LEFT(K16,2)="其他","其他",XLOOKUP(K16,tbl_q10_map[原始匹配值],tbl_q10_map[展示分类],"未映射"))</x:f>
        <x:v>未映射</x:v>
      </x:c>
      <x:c r="M16" s="262" t="str">
        <x:f>IF(L16&lt;&gt;"其他","",IFERROR(TEXTBEFORE(TEXTAFTER(K16,"〖"),"〗"),"未说明"))</x:f>
      </x:c>
      <x:c r="N16" s="304" t="str">
        <x:v>数据无法获得或缺少访问权限┋预训练权重缺失或与代码不兼容┋Python、CUDA 或深度学习框架版本不匹配┋关键依赖包版本冲突，例如 NumPy、mmcv、transformers 等库之间不兼容┋显存、存储空间或预计运行时间不足┋启动命令、配置文件或路径说明缺失</x:v>
      </x:c>
      <x:c r="O16" s="331" t="n">
        <x:f>--ISNUMBER(SEARCH("未遇到以上问题",N16))</x:f>
        <x:v>0</x:v>
      </x:c>
      <x:c r="P16" s="331" t="n">
        <x:f>--ISNUMBER(SEARCH("数据无法获得或缺少访问权限",N16))</x:f>
        <x:v>1</x:v>
      </x:c>
      <x:c r="Q16" s="331" t="n">
        <x:f>--ISNUMBER(SEARCH("预训练权重缺失或与代码不兼容",N16))</x:f>
        <x:v>1</x:v>
      </x:c>
      <x:c r="R16" s="331" t="n">
        <x:f>--ISNUMBER(SEARCH("Python、CUDA 或深度学习框架版本不匹配",N16))</x:f>
        <x:v>1</x:v>
      </x:c>
      <x:c r="S16" s="331" t="n">
        <x:f>--ISNUMBER(SEARCH("关键依赖包版本冲突",N16))</x:f>
        <x:v>1</x:v>
      </x:c>
      <x:c r="T16" s="331" t="n">
        <x:f>--ISNUMBER(SEARCH("显存、存储空间或预计运行时间不足",N16))</x:f>
        <x:v>1</x:v>
      </x:c>
      <x:c r="U16" s="331" t="n">
        <x:f>--ISNUMBER(SEARCH("启动命令、配置文件或路径说明缺失",N16))</x:f>
        <x:v>1</x:v>
      </x:c>
      <x:c r="V16" s="331" t="n">
        <x:f>--ISNUMBER(SEARCH("论文与代码的评测口径不清",N16))</x:f>
        <x:v>0</x:v>
      </x:c>
      <x:c r="W16" s="331" t="n">
        <x:f>--ISNUMBER(SEARCH("许可证或使用范围受到限制",N16))</x:f>
        <x:v>0</x:v>
      </x:c>
      <x:c r="X16" s="331" t="n">
        <x:f>--ISNUMBER(SEARCH("其他",N16))</x:f>
        <x:v>0</x:v>
      </x:c>
      <x:c r="Y16" s="352" t="str">
        <x:f>IF(X16&lt;&gt;1,"",IFERROR(TEXTBEFORE(TEXTAFTER(N16,"〖"),"〗"),"未说明"))</x:f>
      </x:c>
      <x:c r="Z16" s="334" t="n">
        <x:f>SUM(O16:X16)</x:f>
        <x:v>6</x:v>
      </x:c>
      <x:c r="AA16" s="334" t="n">
        <x:f>SUM(P16:X16)</x:f>
        <x:v>6</x:v>
      </x:c>
      <x:c r="AB16" s="334" t="n">
        <x:f>--(AA16&gt;0)</x:f>
        <x:v>1</x:v>
      </x:c>
      <x:c r="AC16" s="343" t="n">
        <x:f>--AND(O16=1,AA16&gt;0)</x:f>
        <x:v>0</x:v>
      </x:c>
      <x:c r="AD16" s="396" t="str">
        <x:v>搜索引擎┋通用大模型或 AI 助手</x:v>
      </x:c>
      <x:c r="AE16" s="415" t="n">
        <x:f>--ISNUMBER(SEARCH("搜索引擎",AD16))</x:f>
        <x:v>1</x:v>
      </x:c>
      <x:c r="AF16" s="415" t="n">
        <x:f>--ISNUMBER(SEARCH("通用大模型或 AI 助手",AD16))</x:f>
        <x:v>1</x:v>
      </x:c>
      <x:c r="AG16" s="415" t="n">
        <x:f>--ISNUMBER(SEARCH("GitHub Issue/Discussion",AD16))</x:f>
        <x:v>0</x:v>
      </x:c>
      <x:c r="AH16" s="415" t="n">
        <x:f>--ISNUMBER(SEARCH("阅读 README、文档或源码",AD16))</x:f>
        <x:v>0</x:v>
      </x:c>
      <x:c r="AI16" s="415" t="n">
        <x:f>--ISNUMBER(SEARCH("复现博客、教程或视频",AD16))</x:f>
        <x:v>0</x:v>
      </x:c>
      <x:c r="AJ16" s="415" t="n">
        <x:f>--ISNUMBER(SEARCH("询问同学、同事或导师",AD16))</x:f>
        <x:v>0</x:v>
      </x:c>
      <x:c r="AK16" s="415" t="n">
        <x:f>--ISNUMBER(SEARCH("没有使用以上方式",AD16))</x:f>
        <x:v>0</x:v>
      </x:c>
      <x:c r="AL16" s="415" t="n">
        <x:f>--ISNUMBER(SEARCH("其他",AD16))</x:f>
        <x:v>0</x:v>
      </x:c>
      <x:c r="AM16" s="440" t="str">
        <x:f>IF(AL16&lt;&gt;1,"",IFERROR(TEXTBEFORE(TEXTAFTER(AD16,"〖"),"〗"),"未说明"))</x:f>
      </x:c>
      <x:c r="AN16" s="426" t="n">
        <x:f>SUM(AE16:AJ16)+AL16</x:f>
        <x:v>2</x:v>
      </x:c>
      <x:c r="AO16" s="426" t="n">
        <x:f>AN16+AK16</x:f>
        <x:v>2</x:v>
      </x:c>
      <x:c r="AP16" s="426" t="n">
        <x:f>--(AN16&gt;0)</x:f>
        <x:v>1</x:v>
      </x:c>
      <x:c r="AQ16" s="426" t="n">
        <x:f>--AND(AK16=1,AN16&gt;0)</x:f>
        <x:v>0</x:v>
      </x:c>
      <x:c r="AR16" s="496" t="str">
        <x:v>信息分散，需要反复查找和拼接</x:v>
      </x:c>
      <x:c r="AS16" s="415" t="n">
        <x:f>--ISNUMBER(SEARCH("没有明显不足",AR16))</x:f>
        <x:v>0</x:v>
      </x:c>
      <x:c r="AT16" s="415" t="n">
        <x:f>--ISNUMBER(SEARCH("信息分散，需要反复查找和拼接",AR16))</x:f>
        <x:v>1</x:v>
      </x:c>
      <x:c r="AU16" s="415" t="n">
        <x:f>--ISNUMBER(SEARCH("结论缺少来源或证据，难以判断是否可信",AR16))</x:f>
        <x:v>0</x:v>
      </x:c>
      <x:c r="AV16" s="415" t="n">
        <x:f>--ISNUMBER(SEARCH("建议过于泛化，无法直接用于当前项目",AR16))</x:f>
        <x:v>0</x:v>
      </x:c>
      <x:c r="AW16" s="415" t="n">
        <x:f>--ISNUMBER(SEARCH("不了解我的硬件、系统或软件环境",AR16))</x:f>
        <x:v>0</x:v>
      </x:c>
      <x:c r="AX16" s="415" t="n">
        <x:f>--ISNUMBER(SEARCH("没有说明操作步骤的先后顺序",AR16))</x:f>
        <x:v>0</x:v>
      </x:c>
      <x:c r="AY16" s="415" t="n">
        <x:f>--ISNUMBER(SEARCH("对覆盖文件、删除文件等高风险操作缺少提醒",AR16))</x:f>
        <x:v>0</x:v>
      </x:c>
      <x:c r="AZ16" s="415" t="n">
        <x:f>--ISNUMBER(SEARCH("难以保存和延续此前的排错上下文",AR16))</x:f>
        <x:v>0</x:v>
      </x:c>
      <x:c r="BA16" s="415" t="n">
        <x:f>--ISNUMBER(SEARCH("相同问题得到的回答不稳定",AR16))</x:f>
        <x:v>0</x:v>
      </x:c>
      <x:c r="BB16" s="415" t="n">
        <x:f>--ISNUMBER(SEARCH("其他",AR16))</x:f>
        <x:v>0</x:v>
      </x:c>
      <x:c r="BC16" s="501" t="str">
        <x:f>IF(BB16=1,IFERROR(TEXTBEFORE(TEXTAFTER(AR16,"〖"),"〗"),"未说明"),"")</x:f>
      </x:c>
      <x:c r="BD16" s="426" t="n">
        <x:f>SUM(AT16:BB16)</x:f>
        <x:v>1</x:v>
      </x:c>
      <x:c r="BE16" s="426" t="n">
        <x:f>BD16+AS16</x:f>
        <x:v>1</x:v>
      </x:c>
      <x:c r="BF16" s="426" t="n">
        <x:f>--(BD16&gt;0)</x:f>
        <x:v>1</x:v>
      </x:c>
      <x:c r="BG16" s="426" t="n">
        <x:f>--AND(AS16=1,BD16&gt;0)</x:f>
        <x:v>0</x:v>
      </x:c>
      <x:c r="BH16" s="564" t="str">
        <x:v>数据集是否能够获得，以及是否需要申请权限</x:v>
      </x:c>
      <x:c r="BI16" s="575" t="n">
        <x:f>--ISNUMBER(SEARCH("数据集是否能够获得，以及是否需要申请权限",BH16))</x:f>
        <x:v>1</x:v>
      </x:c>
      <x:c r="BJ16" s="575" t="n">
        <x:f>--ISNUMBER(SEARCH("是否提供可用的预训练权重",BH16))</x:f>
        <x:v>0</x:v>
      </x:c>
      <x:c r="BK16" s="575" t="n">
        <x:f>--ISNUMBER(SEARCH("Python、CUDA 和深度学习框架的版本要求",BH16))</x:f>
        <x:v>0</x:v>
      </x:c>
      <x:c r="BL16" s="575" t="n">
        <x:f>--ISNUMBER(SEARCH("所需显存、存储空间和预计运行时间",BH16))</x:f>
        <x:v>0</x:v>
      </x:c>
      <x:c r="BM16" s="575" t="n">
        <x:f>--ISNUMBER(SEARCH("启动命令、配置文件和关键路径是否完整",BH16))</x:f>
        <x:v>0</x:v>
      </x:c>
      <x:c r="BN16" s="575" t="n">
        <x:f>--ISNUMBER(SEARCH("论文与代码的评测指标和实验口径是否一致",BH16))</x:f>
        <x:v>0</x:v>
      </x:c>
      <x:c r="BO16" s="575" t="n">
        <x:f>--ISNUMBER(SEARCH("项目许可证和允许使用的范围",BH16))</x:f>
        <x:v>0</x:v>
      </x:c>
      <x:c r="BP16" s="575" t="n">
        <x:f>--ISNUMBER(SEARCH("可能导致复现失败的关键风险",BH16))</x:f>
        <x:v>0</x:v>
      </x:c>
      <x:c r="BQ16" s="575" t="n">
        <x:f>--ISNUMBER(SEARCH("当前情况下最适合执行的第一步",BH16))</x:f>
        <x:v>0</x:v>
      </x:c>
      <x:c r="BR16" s="575" t="n">
        <x:f>--ISNUMBER(SEARCH("其他",BH16))</x:f>
        <x:v>0</x:v>
      </x:c>
      <x:c r="BS16" s="575" t="str">
        <x:f>IF(BR16=1,IFERROR(TEXTBEFORE(TEXTAFTER(BH16,"〖"),"〗"),"未说明"),"")</x:f>
      </x:c>
      <x:c r="BT16" s="575" t="n">
        <x:f>SUM(BI16:BR16)</x:f>
        <x:v>1</x:v>
      </x:c>
      <x:c r="BU16" s="575" t="n">
        <x:f>--(BT16&gt;3)</x:f>
        <x:v>0</x:v>
      </x:c>
      <x:c r="BV16" s="609" t="str">
        <x:v>可直接执行</x:v>
      </x:c>
      <x:c r="BW16" s="614" t="n">
        <x:f>SWITCH(BV16,"可直接执行",1,"展示具体内容并经我确认后执行",2,"每一步都必须单独审批",3,"完全不允许",4,"未映射")</x:f>
        <x:v>1</x:v>
      </x:c>
      <x:c r="BX16" s="609" t="str">
        <x:v>可直接执行</x:v>
      </x:c>
      <x:c r="BY16" s="614" t="n">
        <x:f>SWITCH(BX16,"可直接执行",1,"展示具体内容并经我确认后执行",2,"每一步都必须单独审批",3,"完全不允许",4,"未映射")</x:f>
        <x:v>1</x:v>
      </x:c>
      <x:c r="BZ16" s="609" t="str">
        <x:v>每一步都必须单独审批</x:v>
      </x:c>
      <x:c r="CA16" s="614" t="n">
        <x:f>SWITCH(BZ16,"可直接执行",1,"展示具体内容并经我确认后执行",2,"每一步都必须单独审批",3,"完全不允许",4,"未映射")</x:f>
        <x:v>3</x:v>
      </x:c>
      <x:c r="CB16" s="609" t="str">
        <x:v>每一步都必须单独审批</x:v>
      </x:c>
      <x:c r="CC16" s="614" t="n">
        <x:f>SWITCH(CB16,"可直接执行",1,"展示具体内容并经我确认后执行",2,"每一步都必须单独审批",3,"完全不允许",4,"未映射")</x:f>
        <x:v>3</x:v>
      </x:c>
      <x:c r="CD16" s="609" t="str">
        <x:v>每一步都必须单独审批</x:v>
      </x:c>
      <x:c r="CE16" s="614" t="n">
        <x:f>SWITCH(CD16,"可直接执行",1,"展示具体内容并经我确认后执行",2,"每一步都必须单独审批",3,"完全不允许",4,"未映射")</x:f>
        <x:v>3</x:v>
      </x:c>
      <x:c r="CF16" s="609" t="str">
        <x:v>可直接执行</x:v>
      </x:c>
      <x:c r="CG16" s="614" t="n">
        <x:f>SWITCH(CF16,"可直接执行",1,"展示具体内容并经我确认后执行",2,"每一步都必须单独审批",3,"完全不允许",4,"未映射")</x:f>
        <x:v>1</x:v>
      </x:c>
      <x:c r="CH16" s="639" t="n">
        <x:f>--AND(BY16&gt;=2,CC16&gt;=2,CE16&gt;=2)</x:f>
        <x:v>0</x:v>
      </x:c>
      <x:c r="CI16" s="679" t="str">
        <x:v>分享给导师或负责人，用于确认是否值得继续投入</x:v>
      </x:c>
      <x:c r="CJ16" s="684" t="n">
        <x:f>--ISNUMBER(SEARCH("分享给导师或负责人",CI16))</x:f>
        <x:v>1</x:v>
      </x:c>
      <x:c r="CK16" s="684" t="n">
        <x:f>--ISNUMBER(SEARCH("分享给同学或同事",CI16))</x:f>
        <x:v>0</x:v>
      </x:c>
      <x:c r="CL16" s="684" t="n">
        <x:f>--ISNUMBER(SEARCH("分享给项目成员",CI16))</x:f>
        <x:v>0</x:v>
      </x:c>
      <x:c r="CM16" s="684" t="n">
        <x:f>--ISNUMBER(SEARCH("仅自己查看和留存",CI16))</x:f>
        <x:v>0</x:v>
      </x:c>
      <x:c r="CN16" s="684" t="n">
        <x:f>--ISNUMBER(SEARCH("不会使用或分享这类报告",CI16))</x:f>
        <x:v>0</x:v>
      </x:c>
      <x:c r="CO16" s="684" t="n">
        <x:f>--ISNUMBER(SEARCH("其他",CI16))</x:f>
        <x:v>0</x:v>
      </x:c>
      <x:c r="CP16" s="688" t="str">
        <x:f>IF(CO16=1,IFERROR(TEXTBEFORE(TEXTAFTER(CI16,"〖"),"〗"),"未说明"),"")</x:f>
      </x:c>
      <x:c r="CQ16" s="692" t="n">
        <x:f>SUM(CJ16:CO16)</x:f>
        <x:v>1</x:v>
      </x:c>
      <x:c r="CR16" s="692" t="n">
        <x:f>SUM(CJ16:CL16)</x:f>
        <x:v>1</x:v>
      </x:c>
      <x:c r="CS16" s="692" t="n">
        <x:f>--(CR16&gt;0)</x:f>
        <x:v>1</x:v>
      </x:c>
      <x:c r="CT16" s="692" t="n">
        <x:f>--AND(CN16=1,CQ16&gt;1)</x:f>
        <x:v>0</x:v>
      </x:c>
      <x:c r="CU16"/>
      <x:c r="CV16"/>
      <x:c r="CW16"/>
      <x:c r="CX16"/>
      <x:c r="CY16"/>
      <x:c r="CZ16"/>
      <x:c r="DA16"/>
      <x:c r="DB16"/>
      <x:c r="DC16"/>
      <x:c r="DD16"/>
      <x:c r="DE16"/>
      <x:c r="DF16"/>
      <x:c r="DG16"/>
      <x:c r="DI16"/>
      <x:c r="DJ16"/>
      <x:c r="EA16"/>
      <x:c r="EB16"/>
      <x:c r="EC16"/>
      <x:c r="ED16"/>
      <x:c r="EE16"/>
      <x:c r="EF16"/>
      <x:c r="EG16"/>
      <x:c r="EH16"/>
      <x:c r="EI16"/>
      <x:c r="EJ16"/>
      <x:c r="EK16"/>
      <x:c r="EL16"/>
      <x:c r="EM16"/>
      <x:c r="EN16"/>
      <x:c r="EO16"/>
      <x:c r="EP16"/>
      <x:c r="EQ16"/>
      <x:c r="ER16"/>
      <x:c r="ES16"/>
      <x:c r="ET16"/>
      <x:c r="EU16"/>
      <x:c r="EV16"/>
      <x:c r="EW16"/>
      <x:c r="EX16"/>
      <x:c r="EY16" t="str">
        <x:v>本轮无人选择</x:v>
      </x:c>
      <x:c r="EZ16"/>
      <x:c r="FA16" t="str">
        <x:v>本轮无人选择</x:v>
      </x:c>
      <x:c r="FB16"/>
      <x:c r="FC16"/>
      <x:c r="FD16"/>
      <x:c r="FE16"/>
      <x:c r="FF16"/>
      <x:c r="FG16"/>
      <x:c r="FH16"/>
      <x:c r="FI16"/>
      <x:c r="FJ16" t="str">
        <x:v>Q7—Q8逻辑检查</x:v>
      </x:c>
      <x:c r="FK16" t="str">
        <x:v>结果</x:v>
      </x:c>
      <x:c r="FL16"/>
      <x:c r="FM16"/>
      <x:c r="FN16"/>
      <x:c r="FO16"/>
    </x:row>
    <x:row r="17" ht="38" customHeight="1">
      <x:c r="A17" s="37" t="str">
        <x:v>F-019</x:v>
      </x:c>
      <x:c r="B17" s="37" t="str">
        <x:v>有效核心样本</x:v>
      </x:c>
      <x:c r="C17" s="37" t="n">
        <x:v>1</x:v>
      </x:c>
      <x:c r="D17" s="34" t="str">
        <x:v>只跑通了部分流程</x:v>
      </x:c>
      <x:c r="E17" s="34" t="str">
        <x:v>超过 1 周</x:v>
      </x:c>
      <x:c r="F17" s="172" t="n">
        <x:v>7</x:v>
      </x:c>
      <x:c r="G17" s="43" t="str">
        <x:v>排查并解决运行错误</x:v>
      </x:c>
      <x:c r="H17" s="174" t="str">
        <x:v>排查运行错误</x:v>
      </x:c>
      <x:c r="I17" s="176"/>
      <x:c r="J17" s="178"/>
      <x:c r="K17" s="227" t="str">
        <x:v>获取数据集或预训练权重</x:v>
      </x:c>
      <x:c r="L17" s="256" t="str">
        <x:f>IF(LEFT(K17,2)="其他","其他",XLOOKUP(K17,tbl_q10_map[原始匹配值],tbl_q10_map[展示分类],"未映射"))</x:f>
        <x:v>未映射</x:v>
      </x:c>
      <x:c r="M17" s="262" t="str">
        <x:f>IF(L17&lt;&gt;"其他","",IFERROR(TEXTBEFORE(TEXTAFTER(K17,"〖"),"〗"),"未说明"))</x:f>
      </x:c>
      <x:c r="N17" s="304" t="str">
        <x:v>Python、CUDA 或深度学习框架版本不匹配┋关键依赖包版本冲突，例如 NumPy、mmcv、transformers 等库之间不兼容┋显存、存储空间或预计运行时间不足┋启动命令、配置文件或路径说明缺失┋论文与代码的评测口径不清</x:v>
      </x:c>
      <x:c r="O17" s="331" t="n">
        <x:f>--ISNUMBER(SEARCH("未遇到以上问题",N17))</x:f>
        <x:v>0</x:v>
      </x:c>
      <x:c r="P17" s="331" t="n">
        <x:f>--ISNUMBER(SEARCH("数据无法获得或缺少访问权限",N17))</x:f>
        <x:v>0</x:v>
      </x:c>
      <x:c r="Q17" s="331" t="n">
        <x:f>--ISNUMBER(SEARCH("预训练权重缺失或与代码不兼容",N17))</x:f>
        <x:v>0</x:v>
      </x:c>
      <x:c r="R17" s="331" t="n">
        <x:f>--ISNUMBER(SEARCH("Python、CUDA 或深度学习框架版本不匹配",N17))</x:f>
        <x:v>1</x:v>
      </x:c>
      <x:c r="S17" s="331" t="n">
        <x:f>--ISNUMBER(SEARCH("关键依赖包版本冲突",N17))</x:f>
        <x:v>1</x:v>
      </x:c>
      <x:c r="T17" s="331" t="n">
        <x:f>--ISNUMBER(SEARCH("显存、存储空间或预计运行时间不足",N17))</x:f>
        <x:v>1</x:v>
      </x:c>
      <x:c r="U17" s="331" t="n">
        <x:f>--ISNUMBER(SEARCH("启动命令、配置文件或路径说明缺失",N17))</x:f>
        <x:v>1</x:v>
      </x:c>
      <x:c r="V17" s="331" t="n">
        <x:f>--ISNUMBER(SEARCH("论文与代码的评测口径不清",N17))</x:f>
        <x:v>1</x:v>
      </x:c>
      <x:c r="W17" s="331" t="n">
        <x:f>--ISNUMBER(SEARCH("许可证或使用范围受到限制",N17))</x:f>
        <x:v>0</x:v>
      </x:c>
      <x:c r="X17" s="331" t="n">
        <x:f>--ISNUMBER(SEARCH("其他",N17))</x:f>
        <x:v>0</x:v>
      </x:c>
      <x:c r="Y17" s="352" t="str">
        <x:f>IF(X17&lt;&gt;1,"",IFERROR(TEXTBEFORE(TEXTAFTER(N17,"〖"),"〗"),"未说明"))</x:f>
      </x:c>
      <x:c r="Z17" s="334" t="n">
        <x:f>SUM(O17:X17)</x:f>
        <x:v>5</x:v>
      </x:c>
      <x:c r="AA17" s="334" t="n">
        <x:f>SUM(P17:X17)</x:f>
        <x:v>5</x:v>
      </x:c>
      <x:c r="AB17" s="334" t="n">
        <x:f>--(AA17&gt;0)</x:f>
        <x:v>1</x:v>
      </x:c>
      <x:c r="AC17" s="343" t="n">
        <x:f>--AND(O17=1,AA17&gt;0)</x:f>
        <x:v>0</x:v>
      </x:c>
      <x:c r="AD17" s="396" t="str">
        <x:v>通用大模型或 AI 助手</x:v>
      </x:c>
      <x:c r="AE17" s="415" t="n">
        <x:f>--ISNUMBER(SEARCH("搜索引擎",AD17))</x:f>
        <x:v>0</x:v>
      </x:c>
      <x:c r="AF17" s="415" t="n">
        <x:f>--ISNUMBER(SEARCH("通用大模型或 AI 助手",AD17))</x:f>
        <x:v>1</x:v>
      </x:c>
      <x:c r="AG17" s="415" t="n">
        <x:f>--ISNUMBER(SEARCH("GitHub Issue/Discussion",AD17))</x:f>
        <x:v>0</x:v>
      </x:c>
      <x:c r="AH17" s="415" t="n">
        <x:f>--ISNUMBER(SEARCH("阅读 README、文档或源码",AD17))</x:f>
        <x:v>0</x:v>
      </x:c>
      <x:c r="AI17" s="415" t="n">
        <x:f>--ISNUMBER(SEARCH("复现博客、教程或视频",AD17))</x:f>
        <x:v>0</x:v>
      </x:c>
      <x:c r="AJ17" s="415" t="n">
        <x:f>--ISNUMBER(SEARCH("询问同学、同事或导师",AD17))</x:f>
        <x:v>0</x:v>
      </x:c>
      <x:c r="AK17" s="415" t="n">
        <x:f>--ISNUMBER(SEARCH("没有使用以上方式",AD17))</x:f>
        <x:v>0</x:v>
      </x:c>
      <x:c r="AL17" s="415" t="n">
        <x:f>--ISNUMBER(SEARCH("其他",AD17))</x:f>
        <x:v>0</x:v>
      </x:c>
      <x:c r="AM17" s="440" t="str">
        <x:f>IF(AL17&lt;&gt;1,"",IFERROR(TEXTBEFORE(TEXTAFTER(AD17,"〖"),"〗"),"未说明"))</x:f>
      </x:c>
      <x:c r="AN17" s="426" t="n">
        <x:f>SUM(AE17:AJ17)+AL17</x:f>
        <x:v>1</x:v>
      </x:c>
      <x:c r="AO17" s="426" t="n">
        <x:f>AN17+AK17</x:f>
        <x:v>1</x:v>
      </x:c>
      <x:c r="AP17" s="426" t="n">
        <x:f>--(AN17&gt;0)</x:f>
        <x:v>1</x:v>
      </x:c>
      <x:c r="AQ17" s="426" t="n">
        <x:f>--AND(AK17=1,AN17&gt;0)</x:f>
        <x:v>0</x:v>
      </x:c>
      <x:c r="AR17" s="496" t="str">
        <x:v>信息分散，需要反复查找和拼接┋结论缺少来源或证据，难以判断是否可信┋建议过于泛化，无法直接用于当前项目</x:v>
      </x:c>
      <x:c r="AS17" s="415" t="n">
        <x:f>--ISNUMBER(SEARCH("没有明显不足",AR17))</x:f>
        <x:v>0</x:v>
      </x:c>
      <x:c r="AT17" s="415" t="n">
        <x:f>--ISNUMBER(SEARCH("信息分散，需要反复查找和拼接",AR17))</x:f>
        <x:v>1</x:v>
      </x:c>
      <x:c r="AU17" s="415" t="n">
        <x:f>--ISNUMBER(SEARCH("结论缺少来源或证据，难以判断是否可信",AR17))</x:f>
        <x:v>1</x:v>
      </x:c>
      <x:c r="AV17" s="415" t="n">
        <x:f>--ISNUMBER(SEARCH("建议过于泛化，无法直接用于当前项目",AR17))</x:f>
        <x:v>1</x:v>
      </x:c>
      <x:c r="AW17" s="415" t="n">
        <x:f>--ISNUMBER(SEARCH("不了解我的硬件、系统或软件环境",AR17))</x:f>
        <x:v>0</x:v>
      </x:c>
      <x:c r="AX17" s="415" t="n">
        <x:f>--ISNUMBER(SEARCH("没有说明操作步骤的先后顺序",AR17))</x:f>
        <x:v>0</x:v>
      </x:c>
      <x:c r="AY17" s="415" t="n">
        <x:f>--ISNUMBER(SEARCH("对覆盖文件、删除文件等高风险操作缺少提醒",AR17))</x:f>
        <x:v>0</x:v>
      </x:c>
      <x:c r="AZ17" s="415" t="n">
        <x:f>--ISNUMBER(SEARCH("难以保存和延续此前的排错上下文",AR17))</x:f>
        <x:v>0</x:v>
      </x:c>
      <x:c r="BA17" s="415" t="n">
        <x:f>--ISNUMBER(SEARCH("相同问题得到的回答不稳定",AR17))</x:f>
        <x:v>0</x:v>
      </x:c>
      <x:c r="BB17" s="415" t="n">
        <x:f>--ISNUMBER(SEARCH("其他",AR17))</x:f>
        <x:v>0</x:v>
      </x:c>
      <x:c r="BC17" s="501" t="str">
        <x:f>IF(BB17=1,IFERROR(TEXTBEFORE(TEXTAFTER(AR17,"〖"),"〗"),"未说明"),"")</x:f>
      </x:c>
      <x:c r="BD17" s="426" t="n">
        <x:f>SUM(AT17:BB17)</x:f>
        <x:v>3</x:v>
      </x:c>
      <x:c r="BE17" s="426" t="n">
        <x:f>BD17+AS17</x:f>
        <x:v>3</x:v>
      </x:c>
      <x:c r="BF17" s="426" t="n">
        <x:f>--(BD17&gt;0)</x:f>
        <x:v>1</x:v>
      </x:c>
      <x:c r="BG17" s="426" t="n">
        <x:f>--AND(AS17=1,BD17&gt;0)</x:f>
        <x:v>0</x:v>
      </x:c>
      <x:c r="BH17" s="564" t="str">
        <x:v>数据集是否能够获得，以及是否需要申请权限┋Python、CUDA 和深度学习框架的版本要求┋所需显存、存储空间和预计运行时间</x:v>
      </x:c>
      <x:c r="BI17" s="575" t="n">
        <x:f>--ISNUMBER(SEARCH("数据集是否能够获得，以及是否需要申请权限",BH17))</x:f>
        <x:v>1</x:v>
      </x:c>
      <x:c r="BJ17" s="575" t="n">
        <x:f>--ISNUMBER(SEARCH("是否提供可用的预训练权重",BH17))</x:f>
        <x:v>0</x:v>
      </x:c>
      <x:c r="BK17" s="575" t="n">
        <x:f>--ISNUMBER(SEARCH("Python、CUDA 和深度学习框架的版本要求",BH17))</x:f>
        <x:v>1</x:v>
      </x:c>
      <x:c r="BL17" s="575" t="n">
        <x:f>--ISNUMBER(SEARCH("所需显存、存储空间和预计运行时间",BH17))</x:f>
        <x:v>1</x:v>
      </x:c>
      <x:c r="BM17" s="575" t="n">
        <x:f>--ISNUMBER(SEARCH("启动命令、配置文件和关键路径是否完整",BH17))</x:f>
        <x:v>0</x:v>
      </x:c>
      <x:c r="BN17" s="575" t="n">
        <x:f>--ISNUMBER(SEARCH("论文与代码的评测指标和实验口径是否一致",BH17))</x:f>
        <x:v>0</x:v>
      </x:c>
      <x:c r="BO17" s="575" t="n">
        <x:f>--ISNUMBER(SEARCH("项目许可证和允许使用的范围",BH17))</x:f>
        <x:v>0</x:v>
      </x:c>
      <x:c r="BP17" s="575" t="n">
        <x:f>--ISNUMBER(SEARCH("可能导致复现失败的关键风险",BH17))</x:f>
        <x:v>0</x:v>
      </x:c>
      <x:c r="BQ17" s="575" t="n">
        <x:f>--ISNUMBER(SEARCH("当前情况下最适合执行的第一步",BH17))</x:f>
        <x:v>0</x:v>
      </x:c>
      <x:c r="BR17" s="575" t="n">
        <x:f>--ISNUMBER(SEARCH("其他",BH17))</x:f>
        <x:v>0</x:v>
      </x:c>
      <x:c r="BS17" s="575" t="str">
        <x:f>IF(BR17=1,IFERROR(TEXTBEFORE(TEXTAFTER(BH17,"〖"),"〗"),"未说明"),"")</x:f>
      </x:c>
      <x:c r="BT17" s="575" t="n">
        <x:f>SUM(BI17:BR17)</x:f>
        <x:v>3</x:v>
      </x:c>
      <x:c r="BU17" s="575" t="n">
        <x:f>--(BT17&gt;3)</x:f>
        <x:v>0</x:v>
      </x:c>
      <x:c r="BV17" s="609" t="str">
        <x:v>可直接执行</x:v>
      </x:c>
      <x:c r="BW17" s="614" t="n">
        <x:f>SWITCH(BV17,"可直接执行",1,"展示具体内容并经我确认后执行",2,"每一步都必须单独审批",3,"完全不允许",4,"未映射")</x:f>
        <x:v>1</x:v>
      </x:c>
      <x:c r="BX17" s="609" t="str">
        <x:v>展示具体内容并经我确认后执行</x:v>
      </x:c>
      <x:c r="BY17" s="614" t="n">
        <x:f>SWITCH(BX17,"可直接执行",1,"展示具体内容并经我确认后执行",2,"每一步都必须单独审批",3,"完全不允许",4,"未映射")</x:f>
        <x:v>2</x:v>
      </x:c>
      <x:c r="BZ17" s="609" t="str">
        <x:v>展示具体内容并经我确认后执行</x:v>
      </x:c>
      <x:c r="CA17" s="614" t="n">
        <x:f>SWITCH(BZ17,"可直接执行",1,"展示具体内容并经我确认后执行",2,"每一步都必须单独审批",3,"完全不允许",4,"未映射")</x:f>
        <x:v>2</x:v>
      </x:c>
      <x:c r="CB17" s="609" t="str">
        <x:v>展示具体内容并经我确认后执行</x:v>
      </x:c>
      <x:c r="CC17" s="614" t="n">
        <x:f>SWITCH(CB17,"可直接执行",1,"展示具体内容并经我确认后执行",2,"每一步都必须单独审批",3,"完全不允许",4,"未映射")</x:f>
        <x:v>2</x:v>
      </x:c>
      <x:c r="CD17" s="609" t="str">
        <x:v>展示具体内容并经我确认后执行</x:v>
      </x:c>
      <x:c r="CE17" s="614" t="n">
        <x:f>SWITCH(CD17,"可直接执行",1,"展示具体内容并经我确认后执行",2,"每一步都必须单独审批",3,"完全不允许",4,"未映射")</x:f>
        <x:v>2</x:v>
      </x:c>
      <x:c r="CF17" s="609" t="str">
        <x:v>可直接执行</x:v>
      </x:c>
      <x:c r="CG17" s="614" t="n">
        <x:f>SWITCH(CF17,"可直接执行",1,"展示具体内容并经我确认后执行",2,"每一步都必须单独审批",3,"完全不允许",4,"未映射")</x:f>
        <x:v>1</x:v>
      </x:c>
      <x:c r="CH17" s="639" t="n">
        <x:f>--AND(BY17&gt;=2,CC17&gt;=2,CE17&gt;=2)</x:f>
        <x:v>1</x:v>
      </x:c>
      <x:c r="CI17" s="679" t="str">
        <x:v>分享给导师或负责人，用于确认是否值得继续投入┋分享给同学或同事，请对方协助处理具体问题┋分享给项目成员，用于同步环境、资源或复现风险</x:v>
      </x:c>
      <x:c r="CJ17" s="684" t="n">
        <x:f>--ISNUMBER(SEARCH("分享给导师或负责人",CI17))</x:f>
        <x:v>1</x:v>
      </x:c>
      <x:c r="CK17" s="684" t="n">
        <x:f>--ISNUMBER(SEARCH("分享给同学或同事",CI17))</x:f>
        <x:v>1</x:v>
      </x:c>
      <x:c r="CL17" s="684" t="n">
        <x:f>--ISNUMBER(SEARCH("分享给项目成员",CI17))</x:f>
        <x:v>1</x:v>
      </x:c>
      <x:c r="CM17" s="684" t="n">
        <x:f>--ISNUMBER(SEARCH("仅自己查看和留存",CI17))</x:f>
        <x:v>0</x:v>
      </x:c>
      <x:c r="CN17" s="684" t="n">
        <x:f>--ISNUMBER(SEARCH("不会使用或分享这类报告",CI17))</x:f>
        <x:v>0</x:v>
      </x:c>
      <x:c r="CO17" s="684" t="n">
        <x:f>--ISNUMBER(SEARCH("其他",CI17))</x:f>
        <x:v>0</x:v>
      </x:c>
      <x:c r="CP17" s="688" t="str">
        <x:f>IF(CO17=1,IFERROR(TEXTBEFORE(TEXTAFTER(CI17,"〖"),"〗"),"未说明"),"")</x:f>
      </x:c>
      <x:c r="CQ17" s="692" t="n">
        <x:f>SUM(CJ17:CO17)</x:f>
        <x:v>3</x:v>
      </x:c>
      <x:c r="CR17" s="692" t="n">
        <x:f>SUM(CJ17:CL17)</x:f>
        <x:v>3</x:v>
      </x:c>
      <x:c r="CS17" s="692" t="n">
        <x:f>--(CR17&gt;0)</x:f>
        <x:v>1</x:v>
      </x:c>
      <x:c r="CT17" s="692" t="n">
        <x:f>--AND(CN17=1,CQ17&gt;1)</x:f>
        <x:v>0</x:v>
      </x:c>
      <x:c r="CU17"/>
      <x:c r="CV17"/>
      <x:c r="CW17"/>
      <x:c r="CX17"/>
      <x:c r="CY17"/>
      <x:c r="CZ17"/>
      <x:c r="DA17"/>
      <x:c r="DB17"/>
      <x:c r="DC17"/>
      <x:c r="DD17"/>
      <x:c r="DE17"/>
      <x:c r="DF17"/>
      <x:c r="DG17"/>
      <x:c r="DI17"/>
      <x:c r="DJ17"/>
      <x:c r="EA17"/>
      <x:c r="EB17"/>
      <x:c r="EC17"/>
      <x:c r="ED17"/>
      <x:c r="EE17"/>
      <x:c r="EF17"/>
      <x:c r="EG17"/>
      <x:c r="EH17"/>
      <x:c r="EI17"/>
      <x:c r="EJ17"/>
      <x:c r="EK17"/>
      <x:c r="EL17"/>
      <x:c r="EM17"/>
      <x:c r="EN17"/>
      <x:c r="EO17"/>
      <x:c r="EP17"/>
      <x:c r="EQ17"/>
      <x:c r="ER17"/>
      <x:c r="ES17"/>
      <x:c r="ET17"/>
      <x:c r="EU17"/>
      <x:c r="EV17"/>
      <x:c r="EW17"/>
      <x:c r="EX17"/>
      <x:c r="EY17"/>
      <x:c r="EZ17"/>
      <x:c r="FA17"/>
      <x:c r="FB17"/>
      <x:c r="FC17"/>
      <x:c r="FD17"/>
      <x:c r="FE17"/>
      <x:c r="FF17"/>
      <x:c r="FG17"/>
      <x:c r="FH17"/>
      <x:c r="FI17"/>
      <x:c r="FJ17" t="str">
        <x:v>完整跑通且尚未获得可用结果</x:v>
      </x:c>
      <x:c r="FK17" t="n">
        <x:f>COUNTIFS($D$2:$D$21,"完整跑通，并达到接近目标的结果",$E$2:$E$21,"尚未获得可用结果")</x:f>
        <x:v>0</x:v>
      </x:c>
      <x:c r="FL17"/>
      <x:c r="FM17"/>
      <x:c r="FN17"/>
      <x:c r="FO17"/>
    </x:row>
    <x:row r="18" ht="38" customHeight="1">
      <x:c r="A18" s="37" t="str">
        <x:v>F-020</x:v>
      </x:c>
      <x:c r="B18" s="37" t="str">
        <x:v>有效核心样本</x:v>
      </x:c>
      <x:c r="C18" s="37" t="n">
        <x:v>1</x:v>
      </x:c>
      <x:c r="D18" s="34" t="str">
        <x:v>已跑通，但结果与论文或项目说明明显不一致</x:v>
      </x:c>
      <x:c r="E18" s="34" t="str">
        <x:v>4—7 天</x:v>
      </x:c>
      <x:c r="F18" s="172" t="n">
        <x:v>6</x:v>
      </x:c>
      <x:c r="G18" s="43" t="str">
        <x:v>前期了解项目并判断是否值得复现</x:v>
      </x:c>
      <x:c r="H18" s="174" t="str">
        <x:v>前期了解并判断</x:v>
      </x:c>
      <x:c r="I18" s="176"/>
      <x:c r="J18" s="178"/>
      <x:c r="K18" s="227" t="str">
        <x:v>前期了解项目并判断是否值得复现</x:v>
      </x:c>
      <x:c r="L18" s="256" t="str">
        <x:f>IF(LEFT(K18,2)="其他","其他",XLOOKUP(K18,tbl_q10_map[原始匹配值],tbl_q10_map[展示分类],"未映射"))</x:f>
        <x:v>未映射</x:v>
      </x:c>
      <x:c r="M18" s="262" t="str">
        <x:f>IF(L18&lt;&gt;"其他","",IFERROR(TEXTBEFORE(TEXTAFTER(K18,"〖"),"〗"),"未说明"))</x:f>
      </x:c>
      <x:c r="N18" s="304" t="str">
        <x:v>显存、存储空间或预计运行时间不足┋启动命令、配置文件或路径说明缺失</x:v>
      </x:c>
      <x:c r="O18" s="331" t="n">
        <x:f>--ISNUMBER(SEARCH("未遇到以上问题",N18))</x:f>
        <x:v>0</x:v>
      </x:c>
      <x:c r="P18" s="331" t="n">
        <x:f>--ISNUMBER(SEARCH("数据无法获得或缺少访问权限",N18))</x:f>
        <x:v>0</x:v>
      </x:c>
      <x:c r="Q18" s="331" t="n">
        <x:f>--ISNUMBER(SEARCH("预训练权重缺失或与代码不兼容",N18))</x:f>
        <x:v>0</x:v>
      </x:c>
      <x:c r="R18" s="331" t="n">
        <x:f>--ISNUMBER(SEARCH("Python、CUDA 或深度学习框架版本不匹配",N18))</x:f>
        <x:v>0</x:v>
      </x:c>
      <x:c r="S18" s="331" t="n">
        <x:f>--ISNUMBER(SEARCH("关键依赖包版本冲突",N18))</x:f>
        <x:v>0</x:v>
      </x:c>
      <x:c r="T18" s="331" t="n">
        <x:f>--ISNUMBER(SEARCH("显存、存储空间或预计运行时间不足",N18))</x:f>
        <x:v>1</x:v>
      </x:c>
      <x:c r="U18" s="331" t="n">
        <x:f>--ISNUMBER(SEARCH("启动命令、配置文件或路径说明缺失",N18))</x:f>
        <x:v>1</x:v>
      </x:c>
      <x:c r="V18" s="331" t="n">
        <x:f>--ISNUMBER(SEARCH("论文与代码的评测口径不清",N18))</x:f>
        <x:v>0</x:v>
      </x:c>
      <x:c r="W18" s="331" t="n">
        <x:f>--ISNUMBER(SEARCH("许可证或使用范围受到限制",N18))</x:f>
        <x:v>0</x:v>
      </x:c>
      <x:c r="X18" s="331" t="n">
        <x:f>--ISNUMBER(SEARCH("其他",N18))</x:f>
        <x:v>0</x:v>
      </x:c>
      <x:c r="Y18" s="352" t="str">
        <x:f>IF(X18&lt;&gt;1,"",IFERROR(TEXTBEFORE(TEXTAFTER(N18,"〖"),"〗"),"未说明"))</x:f>
      </x:c>
      <x:c r="Z18" s="334" t="n">
        <x:f>SUM(O18:X18)</x:f>
        <x:v>2</x:v>
      </x:c>
      <x:c r="AA18" s="334" t="n">
        <x:f>SUM(P18:X18)</x:f>
        <x:v>2</x:v>
      </x:c>
      <x:c r="AB18" s="334" t="n">
        <x:f>--(AA18&gt;0)</x:f>
        <x:v>1</x:v>
      </x:c>
      <x:c r="AC18" s="343" t="n">
        <x:f>--AND(O18=1,AA18&gt;0)</x:f>
        <x:v>0</x:v>
      </x:c>
      <x:c r="AD18" s="396" t="str">
        <x:v>通用大模型或 AI 助手┋阅读 README、文档或源码</x:v>
      </x:c>
      <x:c r="AE18" s="415" t="n">
        <x:f>--ISNUMBER(SEARCH("搜索引擎",AD18))</x:f>
        <x:v>0</x:v>
      </x:c>
      <x:c r="AF18" s="415" t="n">
        <x:f>--ISNUMBER(SEARCH("通用大模型或 AI 助手",AD18))</x:f>
        <x:v>1</x:v>
      </x:c>
      <x:c r="AG18" s="415" t="n">
        <x:f>--ISNUMBER(SEARCH("GitHub Issue/Discussion",AD18))</x:f>
        <x:v>0</x:v>
      </x:c>
      <x:c r="AH18" s="415" t="n">
        <x:f>--ISNUMBER(SEARCH("阅读 README、文档或源码",AD18))</x:f>
        <x:v>1</x:v>
      </x:c>
      <x:c r="AI18" s="415" t="n">
        <x:f>--ISNUMBER(SEARCH("复现博客、教程或视频",AD18))</x:f>
        <x:v>0</x:v>
      </x:c>
      <x:c r="AJ18" s="415" t="n">
        <x:f>--ISNUMBER(SEARCH("询问同学、同事或导师",AD18))</x:f>
        <x:v>0</x:v>
      </x:c>
      <x:c r="AK18" s="415" t="n">
        <x:f>--ISNUMBER(SEARCH("没有使用以上方式",AD18))</x:f>
        <x:v>0</x:v>
      </x:c>
      <x:c r="AL18" s="415" t="n">
        <x:f>--ISNUMBER(SEARCH("其他",AD18))</x:f>
        <x:v>0</x:v>
      </x:c>
      <x:c r="AM18" s="440" t="str">
        <x:f>IF(AL18&lt;&gt;1,"",IFERROR(TEXTBEFORE(TEXTAFTER(AD18,"〖"),"〗"),"未说明"))</x:f>
      </x:c>
      <x:c r="AN18" s="426" t="n">
        <x:f>SUM(AE18:AJ18)+AL18</x:f>
        <x:v>2</x:v>
      </x:c>
      <x:c r="AO18" s="426" t="n">
        <x:f>AN18+AK18</x:f>
        <x:v>2</x:v>
      </x:c>
      <x:c r="AP18" s="426" t="n">
        <x:f>--(AN18&gt;0)</x:f>
        <x:v>1</x:v>
      </x:c>
      <x:c r="AQ18" s="426" t="n">
        <x:f>--AND(AK18=1,AN18&gt;0)</x:f>
        <x:v>0</x:v>
      </x:c>
      <x:c r="AR18" s="496" t="str">
        <x:v>结论缺少来源或证据，难以判断是否可信</x:v>
      </x:c>
      <x:c r="AS18" s="415" t="n">
        <x:f>--ISNUMBER(SEARCH("没有明显不足",AR18))</x:f>
        <x:v>0</x:v>
      </x:c>
      <x:c r="AT18" s="415" t="n">
        <x:f>--ISNUMBER(SEARCH("信息分散，需要反复查找和拼接",AR18))</x:f>
        <x:v>0</x:v>
      </x:c>
      <x:c r="AU18" s="415" t="n">
        <x:f>--ISNUMBER(SEARCH("结论缺少来源或证据，难以判断是否可信",AR18))</x:f>
        <x:v>1</x:v>
      </x:c>
      <x:c r="AV18" s="415" t="n">
        <x:f>--ISNUMBER(SEARCH("建议过于泛化，无法直接用于当前项目",AR18))</x:f>
        <x:v>0</x:v>
      </x:c>
      <x:c r="AW18" s="415" t="n">
        <x:f>--ISNUMBER(SEARCH("不了解我的硬件、系统或软件环境",AR18))</x:f>
        <x:v>0</x:v>
      </x:c>
      <x:c r="AX18" s="415" t="n">
        <x:f>--ISNUMBER(SEARCH("没有说明操作步骤的先后顺序",AR18))</x:f>
        <x:v>0</x:v>
      </x:c>
      <x:c r="AY18" s="415" t="n">
        <x:f>--ISNUMBER(SEARCH("对覆盖文件、删除文件等高风险操作缺少提醒",AR18))</x:f>
        <x:v>0</x:v>
      </x:c>
      <x:c r="AZ18" s="415" t="n">
        <x:f>--ISNUMBER(SEARCH("难以保存和延续此前的排错上下文",AR18))</x:f>
        <x:v>0</x:v>
      </x:c>
      <x:c r="BA18" s="415" t="n">
        <x:f>--ISNUMBER(SEARCH("相同问题得到的回答不稳定",AR18))</x:f>
        <x:v>0</x:v>
      </x:c>
      <x:c r="BB18" s="415" t="n">
        <x:f>--ISNUMBER(SEARCH("其他",AR18))</x:f>
        <x:v>0</x:v>
      </x:c>
      <x:c r="BC18" s="501" t="str">
        <x:f>IF(BB18=1,IFERROR(TEXTBEFORE(TEXTAFTER(AR18,"〖"),"〗"),"未说明"),"")</x:f>
      </x:c>
      <x:c r="BD18" s="426" t="n">
        <x:f>SUM(AT18:BB18)</x:f>
        <x:v>1</x:v>
      </x:c>
      <x:c r="BE18" s="426" t="n">
        <x:f>BD18+AS18</x:f>
        <x:v>1</x:v>
      </x:c>
      <x:c r="BF18" s="426" t="n">
        <x:f>--(BD18&gt;0)</x:f>
        <x:v>1</x:v>
      </x:c>
      <x:c r="BG18" s="426" t="n">
        <x:f>--AND(AS18=1,BD18&gt;0)</x:f>
        <x:v>0</x:v>
      </x:c>
      <x:c r="BH18" s="564" t="str">
        <x:v>数据集是否能够获得，以及是否需要申请权限┋Python、CUDA 和深度学习框架的版本要求┋所需显存、存储空间和预计运行时间</x:v>
      </x:c>
      <x:c r="BI18" s="575" t="n">
        <x:f>--ISNUMBER(SEARCH("数据集是否能够获得，以及是否需要申请权限",BH18))</x:f>
        <x:v>1</x:v>
      </x:c>
      <x:c r="BJ18" s="575" t="n">
        <x:f>--ISNUMBER(SEARCH("是否提供可用的预训练权重",BH18))</x:f>
        <x:v>0</x:v>
      </x:c>
      <x:c r="BK18" s="575" t="n">
        <x:f>--ISNUMBER(SEARCH("Python、CUDA 和深度学习框架的版本要求",BH18))</x:f>
        <x:v>1</x:v>
      </x:c>
      <x:c r="BL18" s="575" t="n">
        <x:f>--ISNUMBER(SEARCH("所需显存、存储空间和预计运行时间",BH18))</x:f>
        <x:v>1</x:v>
      </x:c>
      <x:c r="BM18" s="575" t="n">
        <x:f>--ISNUMBER(SEARCH("启动命令、配置文件和关键路径是否完整",BH18))</x:f>
        <x:v>0</x:v>
      </x:c>
      <x:c r="BN18" s="575" t="n">
        <x:f>--ISNUMBER(SEARCH("论文与代码的评测指标和实验口径是否一致",BH18))</x:f>
        <x:v>0</x:v>
      </x:c>
      <x:c r="BO18" s="575" t="n">
        <x:f>--ISNUMBER(SEARCH("项目许可证和允许使用的范围",BH18))</x:f>
        <x:v>0</x:v>
      </x:c>
      <x:c r="BP18" s="575" t="n">
        <x:f>--ISNUMBER(SEARCH("可能导致复现失败的关键风险",BH18))</x:f>
        <x:v>0</x:v>
      </x:c>
      <x:c r="BQ18" s="575" t="n">
        <x:f>--ISNUMBER(SEARCH("当前情况下最适合执行的第一步",BH18))</x:f>
        <x:v>0</x:v>
      </x:c>
      <x:c r="BR18" s="575" t="n">
        <x:f>--ISNUMBER(SEARCH("其他",BH18))</x:f>
        <x:v>0</x:v>
      </x:c>
      <x:c r="BS18" s="575" t="str">
        <x:f>IF(BR18=1,IFERROR(TEXTBEFORE(TEXTAFTER(BH18,"〖"),"〗"),"未说明"),"")</x:f>
      </x:c>
      <x:c r="BT18" s="575" t="n">
        <x:f>SUM(BI18:BR18)</x:f>
        <x:v>3</x:v>
      </x:c>
      <x:c r="BU18" s="575" t="n">
        <x:f>--(BT18&gt;3)</x:f>
        <x:v>0</x:v>
      </x:c>
      <x:c r="BV18" s="609" t="str">
        <x:v>可直接执行</x:v>
      </x:c>
      <x:c r="BW18" s="614" t="n">
        <x:f>SWITCH(BV18,"可直接执行",1,"展示具体内容并经我确认后执行",2,"每一步都必须单独审批",3,"完全不允许",4,"未映射")</x:f>
        <x:v>1</x:v>
      </x:c>
      <x:c r="BX18" s="609" t="str">
        <x:v>可直接执行</x:v>
      </x:c>
      <x:c r="BY18" s="614" t="n">
        <x:f>SWITCH(BX18,"可直接执行",1,"展示具体内容并经我确认后执行",2,"每一步都必须单独审批",3,"完全不允许",4,"未映射")</x:f>
        <x:v>1</x:v>
      </x:c>
      <x:c r="BZ18" s="609" t="str">
        <x:v>可直接执行</x:v>
      </x:c>
      <x:c r="CA18" s="614" t="n">
        <x:f>SWITCH(BZ18,"可直接执行",1,"展示具体内容并经我确认后执行",2,"每一步都必须单独审批",3,"完全不允许",4,"未映射")</x:f>
        <x:v>1</x:v>
      </x:c>
      <x:c r="CB18" s="609" t="str">
        <x:v>展示具体内容并经我确认后执行</x:v>
      </x:c>
      <x:c r="CC18" s="614" t="n">
        <x:f>SWITCH(CB18,"可直接执行",1,"展示具体内容并经我确认后执行",2,"每一步都必须单独审批",3,"完全不允许",4,"未映射")</x:f>
        <x:v>2</x:v>
      </x:c>
      <x:c r="CD18" s="609" t="str">
        <x:v>展示具体内容并经我确认后执行</x:v>
      </x:c>
      <x:c r="CE18" s="614" t="n">
        <x:f>SWITCH(CD18,"可直接执行",1,"展示具体内容并经我确认后执行",2,"每一步都必须单独审批",3,"完全不允许",4,"未映射")</x:f>
        <x:v>2</x:v>
      </x:c>
      <x:c r="CF18" s="609" t="str">
        <x:v>展示具体内容并经我确认后执行</x:v>
      </x:c>
      <x:c r="CG18" s="614" t="n">
        <x:f>SWITCH(CF18,"可直接执行",1,"展示具体内容并经我确认后执行",2,"每一步都必须单独审批",3,"完全不允许",4,"未映射")</x:f>
        <x:v>2</x:v>
      </x:c>
      <x:c r="CH18" s="639" t="n">
        <x:f>--AND(BY18&gt;=2,CC18&gt;=2,CE18&gt;=2)</x:f>
        <x:v>0</x:v>
      </x:c>
      <x:c r="CI18" s="679" t="str">
        <x:v>仅自己查看和留存</x:v>
      </x:c>
      <x:c r="CJ18" s="684" t="n">
        <x:f>--ISNUMBER(SEARCH("分享给导师或负责人",CI18))</x:f>
        <x:v>0</x:v>
      </x:c>
      <x:c r="CK18" s="684" t="n">
        <x:f>--ISNUMBER(SEARCH("分享给同学或同事",CI18))</x:f>
        <x:v>0</x:v>
      </x:c>
      <x:c r="CL18" s="684" t="n">
        <x:f>--ISNUMBER(SEARCH("分享给项目成员",CI18))</x:f>
        <x:v>0</x:v>
      </x:c>
      <x:c r="CM18" s="684" t="n">
        <x:f>--ISNUMBER(SEARCH("仅自己查看和留存",CI18))</x:f>
        <x:v>1</x:v>
      </x:c>
      <x:c r="CN18" s="684" t="n">
        <x:f>--ISNUMBER(SEARCH("不会使用或分享这类报告",CI18))</x:f>
        <x:v>0</x:v>
      </x:c>
      <x:c r="CO18" s="684" t="n">
        <x:f>--ISNUMBER(SEARCH("其他",CI18))</x:f>
        <x:v>0</x:v>
      </x:c>
      <x:c r="CP18" s="688" t="str">
        <x:f>IF(CO18=1,IFERROR(TEXTBEFORE(TEXTAFTER(CI18,"〖"),"〗"),"未说明"),"")</x:f>
      </x:c>
      <x:c r="CQ18" s="692" t="n">
        <x:f>SUM(CJ18:CO18)</x:f>
        <x:v>1</x:v>
      </x:c>
      <x:c r="CR18" s="692" t="n">
        <x:f>SUM(CJ18:CL18)</x:f>
        <x:v>0</x:v>
      </x:c>
      <x:c r="CS18" s="692" t="n">
        <x:f>--(CR18&gt;0)</x:f>
        <x:v>0</x:v>
      </x:c>
      <x:c r="CT18" s="692" t="n">
        <x:f>--AND(CN18=1,CQ18&gt;1)</x:f>
        <x:v>0</x:v>
      </x:c>
      <x:c r="CU18"/>
      <x:c r="CV18"/>
      <x:c r="CW18"/>
      <x:c r="CX18"/>
      <x:c r="CY18"/>
      <x:c r="CZ18"/>
      <x:c r="DA18"/>
      <x:c r="DB18"/>
      <x:c r="DC18"/>
      <x:c r="DD18"/>
      <x:c r="DE18"/>
      <x:c r="DF18"/>
      <x:c r="DG18"/>
      <x:c r="DI18"/>
      <x:c r="DJ18"/>
      <x:c r="EA18"/>
      <x:c r="EB18"/>
      <x:c r="EC18"/>
      <x:c r="ED18"/>
      <x:c r="EE18"/>
      <x:c r="EF18"/>
      <x:c r="EG18"/>
      <x:c r="EH18"/>
      <x:c r="EI18"/>
      <x:c r="EJ18"/>
      <x:c r="EK18"/>
      <x:c r="EL18"/>
      <x:c r="EM18"/>
      <x:c r="EN18"/>
      <x:c r="EO18"/>
      <x:c r="EP18"/>
      <x:c r="EQ18"/>
      <x:c r="ER18"/>
      <x:c r="ES18"/>
      <x:c r="ET18"/>
      <x:c r="EU18"/>
      <x:c r="EV18"/>
      <x:c r="EW18"/>
      <x:c r="EX18"/>
      <x:c r="EY18"/>
      <x:c r="EZ18"/>
      <x:c r="FA18"/>
      <x:c r="FB18"/>
      <x:c r="FC18"/>
      <x:c r="FD18"/>
      <x:c r="FE18"/>
      <x:c r="FF18"/>
      <x:c r="FG18"/>
      <x:c r="FH18"/>
      <x:c r="FI18"/>
      <x:c r="FJ18"/>
      <x:c r="FK18"/>
      <x:c r="FL18"/>
      <x:c r="FM18"/>
      <x:c r="FN18"/>
      <x:c r="FO18"/>
    </x:row>
    <x:row r="19" ht="38" customHeight="1">
      <x:c r="A19" s="37" t="str">
        <x:v>F-021</x:v>
      </x:c>
      <x:c r="B19" s="37" t="str">
        <x:v>有效核心样本</x:v>
      </x:c>
      <x:c r="C19" s="37" t="n">
        <x:v>1</x:v>
      </x:c>
      <x:c r="D19" s="34" t="str">
        <x:v>完整跑通，并达到接近目标的结果</x:v>
      </x:c>
      <x:c r="E19" s="34" t="str">
        <x:v>超过 1 周</x:v>
      </x:c>
      <x:c r="F19" s="172" t="n">
        <x:v>7</x:v>
      </x:c>
      <x:c r="G19" s="43" t="str">
        <x:v>运行训练、推理或测试</x:v>
      </x:c>
      <x:c r="H19" s="174" t="str">
        <x:v>运行训练/推理/测试</x:v>
      </x:c>
      <x:c r="I19" s="176"/>
      <x:c r="J19" s="178"/>
      <x:c r="K19" s="227" t="str">
        <x:v>没有明显卡住的环节</x:v>
      </x:c>
      <x:c r="L19" s="256" t="str">
        <x:f>IF(LEFT(K19,2)="其他","其他",XLOOKUP(K19,tbl_q10_map[原始匹配值],tbl_q10_map[展示分类],"未映射"))</x:f>
        <x:v>未映射</x:v>
      </x:c>
      <x:c r="M19" s="262" t="str">
        <x:f>IF(L19&lt;&gt;"其他","",IFERROR(TEXTBEFORE(TEXTAFTER(K19,"〖"),"〗"),"未说明"))</x:f>
      </x:c>
      <x:c r="N19" s="304" t="str">
        <x:v>显存、存储空间或预计运行时间不足</x:v>
      </x:c>
      <x:c r="O19" s="331" t="n">
        <x:f>--ISNUMBER(SEARCH("未遇到以上问题",N19))</x:f>
        <x:v>0</x:v>
      </x:c>
      <x:c r="P19" s="331" t="n">
        <x:f>--ISNUMBER(SEARCH("数据无法获得或缺少访问权限",N19))</x:f>
        <x:v>0</x:v>
      </x:c>
      <x:c r="Q19" s="331" t="n">
        <x:f>--ISNUMBER(SEARCH("预训练权重缺失或与代码不兼容",N19))</x:f>
        <x:v>0</x:v>
      </x:c>
      <x:c r="R19" s="331" t="n">
        <x:f>--ISNUMBER(SEARCH("Python、CUDA 或深度学习框架版本不匹配",N19))</x:f>
        <x:v>0</x:v>
      </x:c>
      <x:c r="S19" s="331" t="n">
        <x:f>--ISNUMBER(SEARCH("关键依赖包版本冲突",N19))</x:f>
        <x:v>0</x:v>
      </x:c>
      <x:c r="T19" s="331" t="n">
        <x:f>--ISNUMBER(SEARCH("显存、存储空间或预计运行时间不足",N19))</x:f>
        <x:v>1</x:v>
      </x:c>
      <x:c r="U19" s="331" t="n">
        <x:f>--ISNUMBER(SEARCH("启动命令、配置文件或路径说明缺失",N19))</x:f>
        <x:v>0</x:v>
      </x:c>
      <x:c r="V19" s="331" t="n">
        <x:f>--ISNUMBER(SEARCH("论文与代码的评测口径不清",N19))</x:f>
        <x:v>0</x:v>
      </x:c>
      <x:c r="W19" s="331" t="n">
        <x:f>--ISNUMBER(SEARCH("许可证或使用范围受到限制",N19))</x:f>
        <x:v>0</x:v>
      </x:c>
      <x:c r="X19" s="331" t="n">
        <x:f>--ISNUMBER(SEARCH("其他",N19))</x:f>
        <x:v>0</x:v>
      </x:c>
      <x:c r="Y19" s="352" t="str">
        <x:f>IF(X19&lt;&gt;1,"",IFERROR(TEXTBEFORE(TEXTAFTER(N19,"〖"),"〗"),"未说明"))</x:f>
      </x:c>
      <x:c r="Z19" s="334" t="n">
        <x:f>SUM(O19:X19)</x:f>
        <x:v>1</x:v>
      </x:c>
      <x:c r="AA19" s="334" t="n">
        <x:f>SUM(P19:X19)</x:f>
        <x:v>1</x:v>
      </x:c>
      <x:c r="AB19" s="334" t="n">
        <x:f>--(AA19&gt;0)</x:f>
        <x:v>1</x:v>
      </x:c>
      <x:c r="AC19" s="343" t="n">
        <x:f>--AND(O19=1,AA19&gt;0)</x:f>
        <x:v>0</x:v>
      </x:c>
      <x:c r="AD19" s="396" t="str">
        <x:v>搜索引擎┋通用大模型或 AI 助手┋阅读 README、文档或源码┋询问同学、同事或导师</x:v>
      </x:c>
      <x:c r="AE19" s="415" t="n">
        <x:f>--ISNUMBER(SEARCH("搜索引擎",AD19))</x:f>
        <x:v>1</x:v>
      </x:c>
      <x:c r="AF19" s="415" t="n">
        <x:f>--ISNUMBER(SEARCH("通用大模型或 AI 助手",AD19))</x:f>
        <x:v>1</x:v>
      </x:c>
      <x:c r="AG19" s="415" t="n">
        <x:f>--ISNUMBER(SEARCH("GitHub Issue/Discussion",AD19))</x:f>
        <x:v>0</x:v>
      </x:c>
      <x:c r="AH19" s="415" t="n">
        <x:f>--ISNUMBER(SEARCH("阅读 README、文档或源码",AD19))</x:f>
        <x:v>1</x:v>
      </x:c>
      <x:c r="AI19" s="415" t="n">
        <x:f>--ISNUMBER(SEARCH("复现博客、教程或视频",AD19))</x:f>
        <x:v>0</x:v>
      </x:c>
      <x:c r="AJ19" s="415" t="n">
        <x:f>--ISNUMBER(SEARCH("询问同学、同事或导师",AD19))</x:f>
        <x:v>1</x:v>
      </x:c>
      <x:c r="AK19" s="415" t="n">
        <x:f>--ISNUMBER(SEARCH("没有使用以上方式",AD19))</x:f>
        <x:v>0</x:v>
      </x:c>
      <x:c r="AL19" s="415" t="n">
        <x:f>--ISNUMBER(SEARCH("其他",AD19))</x:f>
        <x:v>0</x:v>
      </x:c>
      <x:c r="AM19" s="440" t="str">
        <x:f>IF(AL19&lt;&gt;1,"",IFERROR(TEXTBEFORE(TEXTAFTER(AD19,"〖"),"〗"),"未说明"))</x:f>
      </x:c>
      <x:c r="AN19" s="426" t="n">
        <x:f>SUM(AE19:AJ19)+AL19</x:f>
        <x:v>4</x:v>
      </x:c>
      <x:c r="AO19" s="426" t="n">
        <x:f>AN19+AK19</x:f>
        <x:v>4</x:v>
      </x:c>
      <x:c r="AP19" s="426" t="n">
        <x:f>--(AN19&gt;0)</x:f>
        <x:v>1</x:v>
      </x:c>
      <x:c r="AQ19" s="426" t="n">
        <x:f>--AND(AK19=1,AN19&gt;0)</x:f>
        <x:v>0</x:v>
      </x:c>
      <x:c r="AR19" s="496" t="str">
        <x:v>没有明显不足</x:v>
      </x:c>
      <x:c r="AS19" s="415" t="n">
        <x:f>--ISNUMBER(SEARCH("没有明显不足",AR19))</x:f>
        <x:v>1</x:v>
      </x:c>
      <x:c r="AT19" s="415" t="n">
        <x:f>--ISNUMBER(SEARCH("信息分散，需要反复查找和拼接",AR19))</x:f>
        <x:v>0</x:v>
      </x:c>
      <x:c r="AU19" s="415" t="n">
        <x:f>--ISNUMBER(SEARCH("结论缺少来源或证据，难以判断是否可信",AR19))</x:f>
        <x:v>0</x:v>
      </x:c>
      <x:c r="AV19" s="415" t="n">
        <x:f>--ISNUMBER(SEARCH("建议过于泛化，无法直接用于当前项目",AR19))</x:f>
        <x:v>0</x:v>
      </x:c>
      <x:c r="AW19" s="415" t="n">
        <x:f>--ISNUMBER(SEARCH("不了解我的硬件、系统或软件环境",AR19))</x:f>
        <x:v>0</x:v>
      </x:c>
      <x:c r="AX19" s="415" t="n">
        <x:f>--ISNUMBER(SEARCH("没有说明操作步骤的先后顺序",AR19))</x:f>
        <x:v>0</x:v>
      </x:c>
      <x:c r="AY19" s="415" t="n">
        <x:f>--ISNUMBER(SEARCH("对覆盖文件、删除文件等高风险操作缺少提醒",AR19))</x:f>
        <x:v>0</x:v>
      </x:c>
      <x:c r="AZ19" s="415" t="n">
        <x:f>--ISNUMBER(SEARCH("难以保存和延续此前的排错上下文",AR19))</x:f>
        <x:v>0</x:v>
      </x:c>
      <x:c r="BA19" s="415" t="n">
        <x:f>--ISNUMBER(SEARCH("相同问题得到的回答不稳定",AR19))</x:f>
        <x:v>0</x:v>
      </x:c>
      <x:c r="BB19" s="415" t="n">
        <x:f>--ISNUMBER(SEARCH("其他",AR19))</x:f>
        <x:v>0</x:v>
      </x:c>
      <x:c r="BC19" s="501" t="str">
        <x:f>IF(BB19=1,IFERROR(TEXTBEFORE(TEXTAFTER(AR19,"〖"),"〗"),"未说明"),"")</x:f>
      </x:c>
      <x:c r="BD19" s="426" t="n">
        <x:f>SUM(AT19:BB19)</x:f>
        <x:v>0</x:v>
      </x:c>
      <x:c r="BE19" s="426" t="n">
        <x:f>BD19+AS19</x:f>
        <x:v>1</x:v>
      </x:c>
      <x:c r="BF19" s="426" t="n">
        <x:f>--(BD19&gt;0)</x:f>
        <x:v>0</x:v>
      </x:c>
      <x:c r="BG19" s="426" t="n">
        <x:f>--AND(AS19=1,BD19&gt;0)</x:f>
        <x:v>0</x:v>
      </x:c>
      <x:c r="BH19" s="564" t="str">
        <x:v>数据集是否能够获得，以及是否需要申请权限┋是否提供可用的预训练权重┋Python、CUDA 和深度学习框架的版本要求</x:v>
      </x:c>
      <x:c r="BI19" s="575" t="n">
        <x:f>--ISNUMBER(SEARCH("数据集是否能够获得，以及是否需要申请权限",BH19))</x:f>
        <x:v>1</x:v>
      </x:c>
      <x:c r="BJ19" s="575" t="n">
        <x:f>--ISNUMBER(SEARCH("是否提供可用的预训练权重",BH19))</x:f>
        <x:v>1</x:v>
      </x:c>
      <x:c r="BK19" s="575" t="n">
        <x:f>--ISNUMBER(SEARCH("Python、CUDA 和深度学习框架的版本要求",BH19))</x:f>
        <x:v>1</x:v>
      </x:c>
      <x:c r="BL19" s="575" t="n">
        <x:f>--ISNUMBER(SEARCH("所需显存、存储空间和预计运行时间",BH19))</x:f>
        <x:v>0</x:v>
      </x:c>
      <x:c r="BM19" s="575" t="n">
        <x:f>--ISNUMBER(SEARCH("启动命令、配置文件和关键路径是否完整",BH19))</x:f>
        <x:v>0</x:v>
      </x:c>
      <x:c r="BN19" s="575" t="n">
        <x:f>--ISNUMBER(SEARCH("论文与代码的评测指标和实验口径是否一致",BH19))</x:f>
        <x:v>0</x:v>
      </x:c>
      <x:c r="BO19" s="575" t="n">
        <x:f>--ISNUMBER(SEARCH("项目许可证和允许使用的范围",BH19))</x:f>
        <x:v>0</x:v>
      </x:c>
      <x:c r="BP19" s="575" t="n">
        <x:f>--ISNUMBER(SEARCH("可能导致复现失败的关键风险",BH19))</x:f>
        <x:v>0</x:v>
      </x:c>
      <x:c r="BQ19" s="575" t="n">
        <x:f>--ISNUMBER(SEARCH("当前情况下最适合执行的第一步",BH19))</x:f>
        <x:v>0</x:v>
      </x:c>
      <x:c r="BR19" s="575" t="n">
        <x:f>--ISNUMBER(SEARCH("其他",BH19))</x:f>
        <x:v>0</x:v>
      </x:c>
      <x:c r="BS19" s="575" t="str">
        <x:f>IF(BR19=1,IFERROR(TEXTBEFORE(TEXTAFTER(BH19,"〖"),"〗"),"未说明"),"")</x:f>
      </x:c>
      <x:c r="BT19" s="575" t="n">
        <x:f>SUM(BI19:BR19)</x:f>
        <x:v>3</x:v>
      </x:c>
      <x:c r="BU19" s="575" t="n">
        <x:f>--(BT19&gt;3)</x:f>
        <x:v>0</x:v>
      </x:c>
      <x:c r="BV19" s="609" t="str">
        <x:v>展示具体内容并经我确认后执行</x:v>
      </x:c>
      <x:c r="BW19" s="614" t="n">
        <x:f>SWITCH(BV19,"可直接执行",1,"展示具体内容并经我确认后执行",2,"每一步都必须单独审批",3,"完全不允许",4,"未映射")</x:f>
        <x:v>2</x:v>
      </x:c>
      <x:c r="BX19" s="609" t="str">
        <x:v>可直接执行</x:v>
      </x:c>
      <x:c r="BY19" s="614" t="n">
        <x:f>SWITCH(BX19,"可直接执行",1,"展示具体内容并经我确认后执行",2,"每一步都必须单独审批",3,"完全不允许",4,"未映射")</x:f>
        <x:v>1</x:v>
      </x:c>
      <x:c r="BZ19" s="609" t="str">
        <x:v>展示具体内容并经我确认后执行</x:v>
      </x:c>
      <x:c r="CA19" s="614" t="n">
        <x:f>SWITCH(BZ19,"可直接执行",1,"展示具体内容并经我确认后执行",2,"每一步都必须单独审批",3,"完全不允许",4,"未映射")</x:f>
        <x:v>2</x:v>
      </x:c>
      <x:c r="CB19" s="609" t="str">
        <x:v>展示具体内容并经我确认后执行</x:v>
      </x:c>
      <x:c r="CC19" s="614" t="n">
        <x:f>SWITCH(CB19,"可直接执行",1,"展示具体内容并经我确认后执行",2,"每一步都必须单独审批",3,"完全不允许",4,"未映射")</x:f>
        <x:v>2</x:v>
      </x:c>
      <x:c r="CD19" s="609" t="str">
        <x:v>展示具体内容并经我确认后执行</x:v>
      </x:c>
      <x:c r="CE19" s="614" t="n">
        <x:f>SWITCH(CD19,"可直接执行",1,"展示具体内容并经我确认后执行",2,"每一步都必须单独审批",3,"完全不允许",4,"未映射")</x:f>
        <x:v>2</x:v>
      </x:c>
      <x:c r="CF19" s="609" t="str">
        <x:v>展示具体内容并经我确认后执行</x:v>
      </x:c>
      <x:c r="CG19" s="614" t="n">
        <x:f>SWITCH(CF19,"可直接执行",1,"展示具体内容并经我确认后执行",2,"每一步都必须单独审批",3,"完全不允许",4,"未映射")</x:f>
        <x:v>2</x:v>
      </x:c>
      <x:c r="CH19" s="639" t="n">
        <x:f>--AND(BY19&gt;=2,CC19&gt;=2,CE19&gt;=2)</x:f>
        <x:v>0</x:v>
      </x:c>
      <x:c r="CI19" s="679" t="str">
        <x:v>分享给导师或负责人，用于确认是否值得继续投入</x:v>
      </x:c>
      <x:c r="CJ19" s="684" t="n">
        <x:f>--ISNUMBER(SEARCH("分享给导师或负责人",CI19))</x:f>
        <x:v>1</x:v>
      </x:c>
      <x:c r="CK19" s="684" t="n">
        <x:f>--ISNUMBER(SEARCH("分享给同学或同事",CI19))</x:f>
        <x:v>0</x:v>
      </x:c>
      <x:c r="CL19" s="684" t="n">
        <x:f>--ISNUMBER(SEARCH("分享给项目成员",CI19))</x:f>
        <x:v>0</x:v>
      </x:c>
      <x:c r="CM19" s="684" t="n">
        <x:f>--ISNUMBER(SEARCH("仅自己查看和留存",CI19))</x:f>
        <x:v>0</x:v>
      </x:c>
      <x:c r="CN19" s="684" t="n">
        <x:f>--ISNUMBER(SEARCH("不会使用或分享这类报告",CI19))</x:f>
        <x:v>0</x:v>
      </x:c>
      <x:c r="CO19" s="684" t="n">
        <x:f>--ISNUMBER(SEARCH("其他",CI19))</x:f>
        <x:v>0</x:v>
      </x:c>
      <x:c r="CP19" s="688" t="str">
        <x:f>IF(CO19=1,IFERROR(TEXTBEFORE(TEXTAFTER(CI19,"〖"),"〗"),"未说明"),"")</x:f>
      </x:c>
      <x:c r="CQ19" s="692" t="n">
        <x:f>SUM(CJ19:CO19)</x:f>
        <x:v>1</x:v>
      </x:c>
      <x:c r="CR19" s="692" t="n">
        <x:f>SUM(CJ19:CL19)</x:f>
        <x:v>1</x:v>
      </x:c>
      <x:c r="CS19" s="692" t="n">
        <x:f>--(CR19&gt;0)</x:f>
        <x:v>1</x:v>
      </x:c>
      <x:c r="CT19" s="692" t="n">
        <x:f>--AND(CN19=1,CQ19&gt;1)</x:f>
        <x:v>0</x:v>
      </x:c>
      <x:c r="CU19"/>
      <x:c r="CV19"/>
      <x:c r="CW19"/>
      <x:c r="CX19"/>
      <x:c r="CY19"/>
      <x:c r="CZ19"/>
      <x:c r="DA19"/>
      <x:c r="DB19"/>
      <x:c r="DC19"/>
      <x:c r="DD19"/>
      <x:c r="DE19"/>
      <x:c r="DF19"/>
      <x:c r="DG19"/>
      <x:c r="DI19"/>
      <x:c r="DJ19"/>
      <x:c r="EA19"/>
      <x:c r="EB19"/>
      <x:c r="EC19"/>
      <x:c r="ED19"/>
      <x:c r="EE19"/>
      <x:c r="EF19"/>
      <x:c r="EG19"/>
      <x:c r="EH19"/>
      <x:c r="EI19"/>
      <x:c r="EJ19"/>
      <x:c r="EK19"/>
      <x:c r="EL19"/>
      <x:c r="EM19"/>
      <x:c r="EN19"/>
      <x:c r="EO19"/>
      <x:c r="EP19"/>
      <x:c r="EQ19"/>
      <x:c r="ER19"/>
      <x:c r="ES19"/>
      <x:c r="ET19"/>
      <x:c r="EU19"/>
      <x:c r="EV19"/>
      <x:c r="EW19"/>
      <x:c r="EX19"/>
      <x:c r="EY19"/>
      <x:c r="EZ19"/>
      <x:c r="FA19"/>
      <x:c r="FB19"/>
      <x:c r="FC19"/>
      <x:c r="FD19"/>
      <x:c r="FE19"/>
      <x:c r="FF19"/>
      <x:c r="FG19"/>
      <x:c r="FH19"/>
      <x:c r="FI19"/>
      <x:c r="FJ19"/>
      <x:c r="FK19"/>
      <x:c r="FL19"/>
      <x:c r="FM19"/>
      <x:c r="FN19"/>
      <x:c r="FO19"/>
    </x:row>
    <x:row r="20" ht="38" customHeight="1">
      <x:c r="A20" s="37" t="str">
        <x:v>F-022</x:v>
      </x:c>
      <x:c r="B20" s="37" t="str">
        <x:v>有效核心样本</x:v>
      </x:c>
      <x:c r="C20" s="37" t="n">
        <x:v>1</x:v>
      </x:c>
      <x:c r="D20" s="34" t="str">
        <x:v>已跑通，但结果与论文或项目说明明显不一致</x:v>
      </x:c>
      <x:c r="E20" s="34" t="str">
        <x:v>30 分钟—2 小时</x:v>
      </x:c>
      <x:c r="F20" s="172" t="n">
        <x:v>2</x:v>
      </x:c>
      <x:c r="G20" s="43" t="str">
        <x:v>获取数据集或预训练权重</x:v>
      </x:c>
      <x:c r="H20" s="174" t="str">
        <x:v>获取数据或权重</x:v>
      </x:c>
      <x:c r="I20" s="176"/>
      <x:c r="J20" s="178"/>
      <x:c r="K20" s="227" t="str">
        <x:v>获取数据集或预训练权重</x:v>
      </x:c>
      <x:c r="L20" s="256" t="str">
        <x:f>IF(LEFT(K20,2)="其他","其他",XLOOKUP(K20,tbl_q10_map[原始匹配值],tbl_q10_map[展示分类],"未映射"))</x:f>
        <x:v>未映射</x:v>
      </x:c>
      <x:c r="M20" s="262" t="str">
        <x:f>IF(L20&lt;&gt;"其他","",IFERROR(TEXTBEFORE(TEXTAFTER(K20,"〖"),"〗"),"未说明"))</x:f>
      </x:c>
      <x:c r="N20" s="304" t="str">
        <x:v>预训练权重缺失或与代码不兼容</x:v>
      </x:c>
      <x:c r="O20" s="331" t="n">
        <x:f>--ISNUMBER(SEARCH("未遇到以上问题",N20))</x:f>
        <x:v>0</x:v>
      </x:c>
      <x:c r="P20" s="331" t="n">
        <x:f>--ISNUMBER(SEARCH("数据无法获得或缺少访问权限",N20))</x:f>
        <x:v>0</x:v>
      </x:c>
      <x:c r="Q20" s="331" t="n">
        <x:f>--ISNUMBER(SEARCH("预训练权重缺失或与代码不兼容",N20))</x:f>
        <x:v>1</x:v>
      </x:c>
      <x:c r="R20" s="331" t="n">
        <x:f>--ISNUMBER(SEARCH("Python、CUDA 或深度学习框架版本不匹配",N20))</x:f>
        <x:v>0</x:v>
      </x:c>
      <x:c r="S20" s="331" t="n">
        <x:f>--ISNUMBER(SEARCH("关键依赖包版本冲突",N20))</x:f>
        <x:v>0</x:v>
      </x:c>
      <x:c r="T20" s="331" t="n">
        <x:f>--ISNUMBER(SEARCH("显存、存储空间或预计运行时间不足",N20))</x:f>
        <x:v>0</x:v>
      </x:c>
      <x:c r="U20" s="331" t="n">
        <x:f>--ISNUMBER(SEARCH("启动命令、配置文件或路径说明缺失",N20))</x:f>
        <x:v>0</x:v>
      </x:c>
      <x:c r="V20" s="331" t="n">
        <x:f>--ISNUMBER(SEARCH("论文与代码的评测口径不清",N20))</x:f>
        <x:v>0</x:v>
      </x:c>
      <x:c r="W20" s="331" t="n">
        <x:f>--ISNUMBER(SEARCH("许可证或使用范围受到限制",N20))</x:f>
        <x:v>0</x:v>
      </x:c>
      <x:c r="X20" s="331" t="n">
        <x:f>--ISNUMBER(SEARCH("其他",N20))</x:f>
        <x:v>0</x:v>
      </x:c>
      <x:c r="Y20" s="352" t="str">
        <x:f>IF(X20&lt;&gt;1,"",IFERROR(TEXTBEFORE(TEXTAFTER(N20,"〖"),"〗"),"未说明"))</x:f>
      </x:c>
      <x:c r="Z20" s="334" t="n">
        <x:f>SUM(O20:X20)</x:f>
        <x:v>1</x:v>
      </x:c>
      <x:c r="AA20" s="334" t="n">
        <x:f>SUM(P20:X20)</x:f>
        <x:v>1</x:v>
      </x:c>
      <x:c r="AB20" s="334" t="n">
        <x:f>--(AA20&gt;0)</x:f>
        <x:v>1</x:v>
      </x:c>
      <x:c r="AC20" s="343" t="n">
        <x:f>--AND(O20=1,AA20&gt;0)</x:f>
        <x:v>0</x:v>
      </x:c>
      <x:c r="AD20" s="396" t="str">
        <x:v>通用大模型或 AI 助手</x:v>
      </x:c>
      <x:c r="AE20" s="415" t="n">
        <x:f>--ISNUMBER(SEARCH("搜索引擎",AD20))</x:f>
        <x:v>0</x:v>
      </x:c>
      <x:c r="AF20" s="415" t="n">
        <x:f>--ISNUMBER(SEARCH("通用大模型或 AI 助手",AD20))</x:f>
        <x:v>1</x:v>
      </x:c>
      <x:c r="AG20" s="415" t="n">
        <x:f>--ISNUMBER(SEARCH("GitHub Issue/Discussion",AD20))</x:f>
        <x:v>0</x:v>
      </x:c>
      <x:c r="AH20" s="415" t="n">
        <x:f>--ISNUMBER(SEARCH("阅读 README、文档或源码",AD20))</x:f>
        <x:v>0</x:v>
      </x:c>
      <x:c r="AI20" s="415" t="n">
        <x:f>--ISNUMBER(SEARCH("复现博客、教程或视频",AD20))</x:f>
        <x:v>0</x:v>
      </x:c>
      <x:c r="AJ20" s="415" t="n">
        <x:f>--ISNUMBER(SEARCH("询问同学、同事或导师",AD20))</x:f>
        <x:v>0</x:v>
      </x:c>
      <x:c r="AK20" s="415" t="n">
        <x:f>--ISNUMBER(SEARCH("没有使用以上方式",AD20))</x:f>
        <x:v>0</x:v>
      </x:c>
      <x:c r="AL20" s="415" t="n">
        <x:f>--ISNUMBER(SEARCH("其他",AD20))</x:f>
        <x:v>0</x:v>
      </x:c>
      <x:c r="AM20" s="440" t="str">
        <x:f>IF(AL20&lt;&gt;1,"",IFERROR(TEXTBEFORE(TEXTAFTER(AD20,"〖"),"〗"),"未说明"))</x:f>
      </x:c>
      <x:c r="AN20" s="426" t="n">
        <x:f>SUM(AE20:AJ20)+AL20</x:f>
        <x:v>1</x:v>
      </x:c>
      <x:c r="AO20" s="426" t="n">
        <x:f>AN20+AK20</x:f>
        <x:v>1</x:v>
      </x:c>
      <x:c r="AP20" s="426" t="n">
        <x:f>--(AN20&gt;0)</x:f>
        <x:v>1</x:v>
      </x:c>
      <x:c r="AQ20" s="426" t="n">
        <x:f>--AND(AK20=1,AN20&gt;0)</x:f>
        <x:v>0</x:v>
      </x:c>
      <x:c r="AR20" s="496" t="str">
        <x:v>信息分散，需要反复查找和拼接</x:v>
      </x:c>
      <x:c r="AS20" s="415" t="n">
        <x:f>--ISNUMBER(SEARCH("没有明显不足",AR20))</x:f>
        <x:v>0</x:v>
      </x:c>
      <x:c r="AT20" s="415" t="n">
        <x:f>--ISNUMBER(SEARCH("信息分散，需要反复查找和拼接",AR20))</x:f>
        <x:v>1</x:v>
      </x:c>
      <x:c r="AU20" s="415" t="n">
        <x:f>--ISNUMBER(SEARCH("结论缺少来源或证据，难以判断是否可信",AR20))</x:f>
        <x:v>0</x:v>
      </x:c>
      <x:c r="AV20" s="415" t="n">
        <x:f>--ISNUMBER(SEARCH("建议过于泛化，无法直接用于当前项目",AR20))</x:f>
        <x:v>0</x:v>
      </x:c>
      <x:c r="AW20" s="415" t="n">
        <x:f>--ISNUMBER(SEARCH("不了解我的硬件、系统或软件环境",AR20))</x:f>
        <x:v>0</x:v>
      </x:c>
      <x:c r="AX20" s="415" t="n">
        <x:f>--ISNUMBER(SEARCH("没有说明操作步骤的先后顺序",AR20))</x:f>
        <x:v>0</x:v>
      </x:c>
      <x:c r="AY20" s="415" t="n">
        <x:f>--ISNUMBER(SEARCH("对覆盖文件、删除文件等高风险操作缺少提醒",AR20))</x:f>
        <x:v>0</x:v>
      </x:c>
      <x:c r="AZ20" s="415" t="n">
        <x:f>--ISNUMBER(SEARCH("难以保存和延续此前的排错上下文",AR20))</x:f>
        <x:v>0</x:v>
      </x:c>
      <x:c r="BA20" s="415" t="n">
        <x:f>--ISNUMBER(SEARCH("相同问题得到的回答不稳定",AR20))</x:f>
        <x:v>0</x:v>
      </x:c>
      <x:c r="BB20" s="415" t="n">
        <x:f>--ISNUMBER(SEARCH("其他",AR20))</x:f>
        <x:v>0</x:v>
      </x:c>
      <x:c r="BC20" s="501" t="str">
        <x:f>IF(BB20=1,IFERROR(TEXTBEFORE(TEXTAFTER(AR20,"〖"),"〗"),"未说明"),"")</x:f>
      </x:c>
      <x:c r="BD20" s="426" t="n">
        <x:f>SUM(AT20:BB20)</x:f>
        <x:v>1</x:v>
      </x:c>
      <x:c r="BE20" s="426" t="n">
        <x:f>BD20+AS20</x:f>
        <x:v>1</x:v>
      </x:c>
      <x:c r="BF20" s="426" t="n">
        <x:f>--(BD20&gt;0)</x:f>
        <x:v>1</x:v>
      </x:c>
      <x:c r="BG20" s="426" t="n">
        <x:f>--AND(AS20=1,BD20&gt;0)</x:f>
        <x:v>0</x:v>
      </x:c>
      <x:c r="BH20" s="564" t="str">
        <x:v>是否提供可用的预训练权重</x:v>
      </x:c>
      <x:c r="BI20" s="575" t="n">
        <x:f>--ISNUMBER(SEARCH("数据集是否能够获得，以及是否需要申请权限",BH20))</x:f>
        <x:v>0</x:v>
      </x:c>
      <x:c r="BJ20" s="575" t="n">
        <x:f>--ISNUMBER(SEARCH("是否提供可用的预训练权重",BH20))</x:f>
        <x:v>1</x:v>
      </x:c>
      <x:c r="BK20" s="575" t="n">
        <x:f>--ISNUMBER(SEARCH("Python、CUDA 和深度学习框架的版本要求",BH20))</x:f>
        <x:v>0</x:v>
      </x:c>
      <x:c r="BL20" s="575" t="n">
        <x:f>--ISNUMBER(SEARCH("所需显存、存储空间和预计运行时间",BH20))</x:f>
        <x:v>0</x:v>
      </x:c>
      <x:c r="BM20" s="575" t="n">
        <x:f>--ISNUMBER(SEARCH("启动命令、配置文件和关键路径是否完整",BH20))</x:f>
        <x:v>0</x:v>
      </x:c>
      <x:c r="BN20" s="575" t="n">
        <x:f>--ISNUMBER(SEARCH("论文与代码的评测指标和实验口径是否一致",BH20))</x:f>
        <x:v>0</x:v>
      </x:c>
      <x:c r="BO20" s="575" t="n">
        <x:f>--ISNUMBER(SEARCH("项目许可证和允许使用的范围",BH20))</x:f>
        <x:v>0</x:v>
      </x:c>
      <x:c r="BP20" s="575" t="n">
        <x:f>--ISNUMBER(SEARCH("可能导致复现失败的关键风险",BH20))</x:f>
        <x:v>0</x:v>
      </x:c>
      <x:c r="BQ20" s="575" t="n">
        <x:f>--ISNUMBER(SEARCH("当前情况下最适合执行的第一步",BH20))</x:f>
        <x:v>0</x:v>
      </x:c>
      <x:c r="BR20" s="575" t="n">
        <x:f>--ISNUMBER(SEARCH("其他",BH20))</x:f>
        <x:v>0</x:v>
      </x:c>
      <x:c r="BS20" s="575" t="str">
        <x:f>IF(BR20=1,IFERROR(TEXTBEFORE(TEXTAFTER(BH20,"〖"),"〗"),"未说明"),"")</x:f>
      </x:c>
      <x:c r="BT20" s="575" t="n">
        <x:f>SUM(BI20:BR20)</x:f>
        <x:v>1</x:v>
      </x:c>
      <x:c r="BU20" s="575" t="n">
        <x:f>--(BT20&gt;3)</x:f>
        <x:v>0</x:v>
      </x:c>
      <x:c r="BV20" s="609" t="str">
        <x:v>展示具体内容并经我确认后执行</x:v>
      </x:c>
      <x:c r="BW20" s="614" t="n">
        <x:f>SWITCH(BV20,"可直接执行",1,"展示具体内容并经我确认后执行",2,"每一步都必须单独审批",3,"完全不允许",4,"未映射")</x:f>
        <x:v>2</x:v>
      </x:c>
      <x:c r="BX20" s="609" t="str">
        <x:v>展示具体内容并经我确认后执行</x:v>
      </x:c>
      <x:c r="BY20" s="614" t="n">
        <x:f>SWITCH(BX20,"可直接执行",1,"展示具体内容并经我确认后执行",2,"每一步都必须单独审批",3,"完全不允许",4,"未映射")</x:f>
        <x:v>2</x:v>
      </x:c>
      <x:c r="BZ20" s="609" t="str">
        <x:v>展示具体内容并经我确认后执行</x:v>
      </x:c>
      <x:c r="CA20" s="614" t="n">
        <x:f>SWITCH(BZ20,"可直接执行",1,"展示具体内容并经我确认后执行",2,"每一步都必须单独审批",3,"完全不允许",4,"未映射")</x:f>
        <x:v>2</x:v>
      </x:c>
      <x:c r="CB20" s="609" t="str">
        <x:v>展示具体内容并经我确认后执行</x:v>
      </x:c>
      <x:c r="CC20" s="614" t="n">
        <x:f>SWITCH(CB20,"可直接执行",1,"展示具体内容并经我确认后执行",2,"每一步都必须单独审批",3,"完全不允许",4,"未映射")</x:f>
        <x:v>2</x:v>
      </x:c>
      <x:c r="CD20" s="609" t="str">
        <x:v>展示具体内容并经我确认后执行</x:v>
      </x:c>
      <x:c r="CE20" s="614" t="n">
        <x:f>SWITCH(CD20,"可直接执行",1,"展示具体内容并经我确认后执行",2,"每一步都必须单独审批",3,"完全不允许",4,"未映射")</x:f>
        <x:v>2</x:v>
      </x:c>
      <x:c r="CF20" s="609" t="str">
        <x:v>展示具体内容并经我确认后执行</x:v>
      </x:c>
      <x:c r="CG20" s="614" t="n">
        <x:f>SWITCH(CF20,"可直接执行",1,"展示具体内容并经我确认后执行",2,"每一步都必须单独审批",3,"完全不允许",4,"未映射")</x:f>
        <x:v>2</x:v>
      </x:c>
      <x:c r="CH20" s="639" t="n">
        <x:f>--AND(BY20&gt;=2,CC20&gt;=2,CE20&gt;=2)</x:f>
        <x:v>1</x:v>
      </x:c>
      <x:c r="CI20" s="679" t="str">
        <x:v>分享给导师或负责人，用于确认是否值得继续投入</x:v>
      </x:c>
      <x:c r="CJ20" s="684" t="n">
        <x:f>--ISNUMBER(SEARCH("分享给导师或负责人",CI20))</x:f>
        <x:v>1</x:v>
      </x:c>
      <x:c r="CK20" s="684" t="n">
        <x:f>--ISNUMBER(SEARCH("分享给同学或同事",CI20))</x:f>
        <x:v>0</x:v>
      </x:c>
      <x:c r="CL20" s="684" t="n">
        <x:f>--ISNUMBER(SEARCH("分享给项目成员",CI20))</x:f>
        <x:v>0</x:v>
      </x:c>
      <x:c r="CM20" s="684" t="n">
        <x:f>--ISNUMBER(SEARCH("仅自己查看和留存",CI20))</x:f>
        <x:v>0</x:v>
      </x:c>
      <x:c r="CN20" s="684" t="n">
        <x:f>--ISNUMBER(SEARCH("不会使用或分享这类报告",CI20))</x:f>
        <x:v>0</x:v>
      </x:c>
      <x:c r="CO20" s="684" t="n">
        <x:f>--ISNUMBER(SEARCH("其他",CI20))</x:f>
        <x:v>0</x:v>
      </x:c>
      <x:c r="CP20" s="688" t="str">
        <x:f>IF(CO20=1,IFERROR(TEXTBEFORE(TEXTAFTER(CI20,"〖"),"〗"),"未说明"),"")</x:f>
      </x:c>
      <x:c r="CQ20" s="692" t="n">
        <x:f>SUM(CJ20:CO20)</x:f>
        <x:v>1</x:v>
      </x:c>
      <x:c r="CR20" s="692" t="n">
        <x:f>SUM(CJ20:CL20)</x:f>
        <x:v>1</x:v>
      </x:c>
      <x:c r="CS20" s="692" t="n">
        <x:f>--(CR20&gt;0)</x:f>
        <x:v>1</x:v>
      </x:c>
      <x:c r="CT20" s="692" t="n">
        <x:f>--AND(CN20=1,CQ20&gt;1)</x:f>
        <x:v>0</x:v>
      </x:c>
      <x:c r="CU20"/>
      <x:c r="CV20"/>
      <x:c r="CW20"/>
      <x:c r="CX20"/>
      <x:c r="CY20"/>
      <x:c r="CZ20"/>
      <x:c r="DA20"/>
      <x:c r="DB20"/>
      <x:c r="DC20"/>
      <x:c r="DD20"/>
      <x:c r="DE20"/>
      <x:c r="DF20"/>
      <x:c r="DG20"/>
      <x:c r="DI20"/>
      <x:c r="DJ20"/>
      <x:c r="EA20"/>
      <x:c r="EB20"/>
      <x:c r="EC20"/>
      <x:c r="ED20"/>
      <x:c r="EE20"/>
      <x:c r="EF20"/>
      <x:c r="EG20"/>
      <x:c r="EH20"/>
      <x:c r="EI20"/>
      <x:c r="EJ20"/>
      <x:c r="EK20"/>
      <x:c r="EL20"/>
      <x:c r="EM20"/>
      <x:c r="EN20"/>
      <x:c r="EO20"/>
      <x:c r="EP20"/>
      <x:c r="EQ20"/>
      <x:c r="ER20"/>
      <x:c r="ES20"/>
      <x:c r="ET20"/>
      <x:c r="EU20"/>
      <x:c r="EV20"/>
      <x:c r="EW20"/>
      <x:c r="EX20"/>
      <x:c r="EY20"/>
      <x:c r="EZ20"/>
      <x:c r="FA20"/>
      <x:c r="FB20"/>
      <x:c r="FC20"/>
      <x:c r="FD20"/>
      <x:c r="FE20"/>
      <x:c r="FF20"/>
      <x:c r="FG20"/>
      <x:c r="FH20"/>
      <x:c r="FI20"/>
      <x:c r="FJ20"/>
      <x:c r="FK20"/>
      <x:c r="FL20"/>
      <x:c r="FM20"/>
      <x:c r="FN20"/>
      <x:c r="FO20"/>
    </x:row>
    <x:row r="21" ht="38" customHeight="1">
      <x:c r="A21" s="37" t="str">
        <x:v>F-023</x:v>
      </x:c>
      <x:c r="B21" s="37" t="str">
        <x:v>有效核心样本</x:v>
      </x:c>
      <x:c r="C21" s="37" t="n">
        <x:v>1</x:v>
      </x:c>
      <x:c r="D21" s="34" t="str">
        <x:v>完整跑通，并达到接近目标的结果</x:v>
      </x:c>
      <x:c r="E21" s="34" t="str">
        <x:v>30 分钟—2 小时</x:v>
      </x:c>
      <x:c r="F21" s="172" t="n">
        <x:v>2</x:v>
      </x:c>
      <x:c r="G21" s="43" t="str">
        <x:v>计算评测指标并对齐实验结果</x:v>
      </x:c>
      <x:c r="H21" s="174" t="str">
        <x:v>计算指标并对齐结果</x:v>
      </x:c>
      <x:c r="I21" s="176"/>
      <x:c r="J21" s="178"/>
      <x:c r="K21" s="228" t="str">
        <x:v>没有明显卡住的环节</x:v>
      </x:c>
      <x:c r="L21" s="257" t="str">
        <x:f>IF(LEFT(K21,2)="其他","其他",XLOOKUP(K21,tbl_q10_map[原始匹配值],tbl_q10_map[展示分类],"未映射"))</x:f>
        <x:v>未映射</x:v>
      </x:c>
      <x:c r="M21" s="263" t="str">
        <x:f>IF(L21&lt;&gt;"其他","",IFERROR(TEXTBEFORE(TEXTAFTER(K21,"〖"),"〗"),"未说明"))</x:f>
      </x:c>
      <x:c r="N21" s="305" t="str">
        <x:v>论文与代码的评测口径不清</x:v>
      </x:c>
      <x:c r="O21" s="332" t="n">
        <x:f>--ISNUMBER(SEARCH("未遇到以上问题",N21))</x:f>
        <x:v>0</x:v>
      </x:c>
      <x:c r="P21" s="332" t="n">
        <x:f>--ISNUMBER(SEARCH("数据无法获得或缺少访问权限",N21))</x:f>
        <x:v>0</x:v>
      </x:c>
      <x:c r="Q21" s="332" t="n">
        <x:f>--ISNUMBER(SEARCH("预训练权重缺失或与代码不兼容",N21))</x:f>
        <x:v>0</x:v>
      </x:c>
      <x:c r="R21" s="332" t="n">
        <x:f>--ISNUMBER(SEARCH("Python、CUDA 或深度学习框架版本不匹配",N21))</x:f>
        <x:v>0</x:v>
      </x:c>
      <x:c r="S21" s="332" t="n">
        <x:f>--ISNUMBER(SEARCH("关键依赖包版本冲突",N21))</x:f>
        <x:v>0</x:v>
      </x:c>
      <x:c r="T21" s="332" t="n">
        <x:f>--ISNUMBER(SEARCH("显存、存储空间或预计运行时间不足",N21))</x:f>
        <x:v>0</x:v>
      </x:c>
      <x:c r="U21" s="332" t="n">
        <x:f>--ISNUMBER(SEARCH("启动命令、配置文件或路径说明缺失",N21))</x:f>
        <x:v>0</x:v>
      </x:c>
      <x:c r="V21" s="332" t="n">
        <x:f>--ISNUMBER(SEARCH("论文与代码的评测口径不清",N21))</x:f>
        <x:v>1</x:v>
      </x:c>
      <x:c r="W21" s="332" t="n">
        <x:f>--ISNUMBER(SEARCH("许可证或使用范围受到限制",N21))</x:f>
        <x:v>0</x:v>
      </x:c>
      <x:c r="X21" s="332" t="n">
        <x:f>--ISNUMBER(SEARCH("其他",N21))</x:f>
        <x:v>0</x:v>
      </x:c>
      <x:c r="Y21" s="353" t="str">
        <x:f>IF(X21&lt;&gt;1,"",IFERROR(TEXTBEFORE(TEXTAFTER(N21,"〖"),"〗"),"未说明"))</x:f>
      </x:c>
      <x:c r="Z21" s="335" t="n">
        <x:f>SUM(O21:X21)</x:f>
        <x:v>1</x:v>
      </x:c>
      <x:c r="AA21" s="335" t="n">
        <x:f>SUM(P21:X21)</x:f>
        <x:v>1</x:v>
      </x:c>
      <x:c r="AB21" s="335" t="n">
        <x:f>--(AA21&gt;0)</x:f>
        <x:v>1</x:v>
      </x:c>
      <x:c r="AC21" s="344" t="n">
        <x:f>--AND(O21=1,AA21&gt;0)</x:f>
        <x:v>0</x:v>
      </x:c>
      <x:c r="AD21" s="396" t="str">
        <x:v>通用大模型或 AI 助手</x:v>
      </x:c>
      <x:c r="AE21" s="415" t="n">
        <x:f>--ISNUMBER(SEARCH("搜索引擎",AD21))</x:f>
        <x:v>0</x:v>
      </x:c>
      <x:c r="AF21" s="415" t="n">
        <x:f>--ISNUMBER(SEARCH("通用大模型或 AI 助手",AD21))</x:f>
        <x:v>1</x:v>
      </x:c>
      <x:c r="AG21" s="415" t="n">
        <x:f>--ISNUMBER(SEARCH("GitHub Issue/Discussion",AD21))</x:f>
        <x:v>0</x:v>
      </x:c>
      <x:c r="AH21" s="415" t="n">
        <x:f>--ISNUMBER(SEARCH("阅读 README、文档或源码",AD21))</x:f>
        <x:v>0</x:v>
      </x:c>
      <x:c r="AI21" s="415" t="n">
        <x:f>--ISNUMBER(SEARCH("复现博客、教程或视频",AD21))</x:f>
        <x:v>0</x:v>
      </x:c>
      <x:c r="AJ21" s="415" t="n">
        <x:f>--ISNUMBER(SEARCH("询问同学、同事或导师",AD21))</x:f>
        <x:v>0</x:v>
      </x:c>
      <x:c r="AK21" s="415" t="n">
        <x:f>--ISNUMBER(SEARCH("没有使用以上方式",AD21))</x:f>
        <x:v>0</x:v>
      </x:c>
      <x:c r="AL21" s="415" t="n">
        <x:f>--ISNUMBER(SEARCH("其他",AD21))</x:f>
        <x:v>0</x:v>
      </x:c>
      <x:c r="AM21" s="440" t="str">
        <x:f>IF(AL21&lt;&gt;1,"",IFERROR(TEXTBEFORE(TEXTAFTER(AD21,"〖"),"〗"),"未说明"))</x:f>
      </x:c>
      <x:c r="AN21" s="426" t="n">
        <x:f>SUM(AE21:AJ21)+AL21</x:f>
        <x:v>1</x:v>
      </x:c>
      <x:c r="AO21" s="426" t="n">
        <x:f>AN21+AK21</x:f>
        <x:v>1</x:v>
      </x:c>
      <x:c r="AP21" s="426" t="n">
        <x:f>--(AN21&gt;0)</x:f>
        <x:v>1</x:v>
      </x:c>
      <x:c r="AQ21" s="426" t="n">
        <x:f>--AND(AK21=1,AN21&gt;0)</x:f>
        <x:v>0</x:v>
      </x:c>
      <x:c r="AR21" s="496" t="str">
        <x:v>没有明显不足</x:v>
      </x:c>
      <x:c r="AS21" s="415" t="n">
        <x:f>--ISNUMBER(SEARCH("没有明显不足",AR21))</x:f>
        <x:v>1</x:v>
      </x:c>
      <x:c r="AT21" s="415" t="n">
        <x:f>--ISNUMBER(SEARCH("信息分散，需要反复查找和拼接",AR21))</x:f>
        <x:v>0</x:v>
      </x:c>
      <x:c r="AU21" s="415" t="n">
        <x:f>--ISNUMBER(SEARCH("结论缺少来源或证据，难以判断是否可信",AR21))</x:f>
        <x:v>0</x:v>
      </x:c>
      <x:c r="AV21" s="415" t="n">
        <x:f>--ISNUMBER(SEARCH("建议过于泛化，无法直接用于当前项目",AR21))</x:f>
        <x:v>0</x:v>
      </x:c>
      <x:c r="AW21" s="415" t="n">
        <x:f>--ISNUMBER(SEARCH("不了解我的硬件、系统或软件环境",AR21))</x:f>
        <x:v>0</x:v>
      </x:c>
      <x:c r="AX21" s="415" t="n">
        <x:f>--ISNUMBER(SEARCH("没有说明操作步骤的先后顺序",AR21))</x:f>
        <x:v>0</x:v>
      </x:c>
      <x:c r="AY21" s="415" t="n">
        <x:f>--ISNUMBER(SEARCH("对覆盖文件、删除文件等高风险操作缺少提醒",AR21))</x:f>
        <x:v>0</x:v>
      </x:c>
      <x:c r="AZ21" s="415" t="n">
        <x:f>--ISNUMBER(SEARCH("难以保存和延续此前的排错上下文",AR21))</x:f>
        <x:v>0</x:v>
      </x:c>
      <x:c r="BA21" s="415" t="n">
        <x:f>--ISNUMBER(SEARCH("相同问题得到的回答不稳定",AR21))</x:f>
        <x:v>0</x:v>
      </x:c>
      <x:c r="BB21" s="415" t="n">
        <x:f>--ISNUMBER(SEARCH("其他",AR21))</x:f>
        <x:v>0</x:v>
      </x:c>
      <x:c r="BC21" s="501" t="str">
        <x:f>IF(BB21=1,IFERROR(TEXTBEFORE(TEXTAFTER(AR21,"〖"),"〗"),"未说明"),"")</x:f>
      </x:c>
      <x:c r="BD21" s="426" t="n">
        <x:f>SUM(AT21:BB21)</x:f>
        <x:v>0</x:v>
      </x:c>
      <x:c r="BE21" s="426" t="n">
        <x:f>BD21+AS21</x:f>
        <x:v>1</x:v>
      </x:c>
      <x:c r="BF21" s="426" t="n">
        <x:f>--(BD21&gt;0)</x:f>
        <x:v>0</x:v>
      </x:c>
      <x:c r="BG21" s="426" t="n">
        <x:f>--AND(AS21=1,BD21&gt;0)</x:f>
        <x:v>0</x:v>
      </x:c>
      <x:c r="BH21" s="564" t="str">
        <x:v>是否提供可用的预训练权重┋所需显存、存储空间和预计运行时间</x:v>
      </x:c>
      <x:c r="BI21" s="575" t="n">
        <x:f>--ISNUMBER(SEARCH("数据集是否能够获得，以及是否需要申请权限",BH21))</x:f>
        <x:v>0</x:v>
      </x:c>
      <x:c r="BJ21" s="575" t="n">
        <x:f>--ISNUMBER(SEARCH("是否提供可用的预训练权重",BH21))</x:f>
        <x:v>1</x:v>
      </x:c>
      <x:c r="BK21" s="575" t="n">
        <x:f>--ISNUMBER(SEARCH("Python、CUDA 和深度学习框架的版本要求",BH21))</x:f>
        <x:v>0</x:v>
      </x:c>
      <x:c r="BL21" s="575" t="n">
        <x:f>--ISNUMBER(SEARCH("所需显存、存储空间和预计运行时间",BH21))</x:f>
        <x:v>1</x:v>
      </x:c>
      <x:c r="BM21" s="575" t="n">
        <x:f>--ISNUMBER(SEARCH("启动命令、配置文件和关键路径是否完整",BH21))</x:f>
        <x:v>0</x:v>
      </x:c>
      <x:c r="BN21" s="575" t="n">
        <x:f>--ISNUMBER(SEARCH("论文与代码的评测指标和实验口径是否一致",BH21))</x:f>
        <x:v>0</x:v>
      </x:c>
      <x:c r="BO21" s="575" t="n">
        <x:f>--ISNUMBER(SEARCH("项目许可证和允许使用的范围",BH21))</x:f>
        <x:v>0</x:v>
      </x:c>
      <x:c r="BP21" s="575" t="n">
        <x:f>--ISNUMBER(SEARCH("可能导致复现失败的关键风险",BH21))</x:f>
        <x:v>0</x:v>
      </x:c>
      <x:c r="BQ21" s="575" t="n">
        <x:f>--ISNUMBER(SEARCH("当前情况下最适合执行的第一步",BH21))</x:f>
        <x:v>0</x:v>
      </x:c>
      <x:c r="BR21" s="575" t="n">
        <x:f>--ISNUMBER(SEARCH("其他",BH21))</x:f>
        <x:v>0</x:v>
      </x:c>
      <x:c r="BS21" s="575" t="str">
        <x:f>IF(BR21=1,IFERROR(TEXTBEFORE(TEXTAFTER(BH21,"〖"),"〗"),"未说明"),"")</x:f>
      </x:c>
      <x:c r="BT21" s="575" t="n">
        <x:f>SUM(BI21:BR21)</x:f>
        <x:v>2</x:v>
      </x:c>
      <x:c r="BU21" s="575" t="n">
        <x:f>--(BT21&gt;3)</x:f>
        <x:v>0</x:v>
      </x:c>
      <x:c r="BV21" s="609" t="str">
        <x:v>可直接执行</x:v>
      </x:c>
      <x:c r="BW21" s="614" t="n">
        <x:f>SWITCH(BV21,"可直接执行",1,"展示具体内容并经我确认后执行",2,"每一步都必须单独审批",3,"完全不允许",4,"未映射")</x:f>
        <x:v>1</x:v>
      </x:c>
      <x:c r="BX21" s="609" t="str">
        <x:v>可直接执行</x:v>
      </x:c>
      <x:c r="BY21" s="614" t="n">
        <x:f>SWITCH(BX21,"可直接执行",1,"展示具体内容并经我确认后执行",2,"每一步都必须单独审批",3,"完全不允许",4,"未映射")</x:f>
        <x:v>1</x:v>
      </x:c>
      <x:c r="BZ21" s="609" t="str">
        <x:v>展示具体内容并经我确认后执行</x:v>
      </x:c>
      <x:c r="CA21" s="614" t="n">
        <x:f>SWITCH(BZ21,"可直接执行",1,"展示具体内容并经我确认后执行",2,"每一步都必须单独审批",3,"完全不允许",4,"未映射")</x:f>
        <x:v>2</x:v>
      </x:c>
      <x:c r="CB21" s="609" t="str">
        <x:v>展示具体内容并经我确认后执行</x:v>
      </x:c>
      <x:c r="CC21" s="614" t="n">
        <x:f>SWITCH(CB21,"可直接执行",1,"展示具体内容并经我确认后执行",2,"每一步都必须单独审批",3,"完全不允许",4,"未映射")</x:f>
        <x:v>2</x:v>
      </x:c>
      <x:c r="CD21" s="609" t="str">
        <x:v>每一步都必须单独审批</x:v>
      </x:c>
      <x:c r="CE21" s="614" t="n">
        <x:f>SWITCH(CD21,"可直接执行",1,"展示具体内容并经我确认后执行",2,"每一步都必须单独审批",3,"完全不允许",4,"未映射")</x:f>
        <x:v>3</x:v>
      </x:c>
      <x:c r="CF21" s="609" t="str">
        <x:v>可直接执行</x:v>
      </x:c>
      <x:c r="CG21" s="614" t="n">
        <x:f>SWITCH(CF21,"可直接执行",1,"展示具体内容并经我确认后执行",2,"每一步都必须单独审批",3,"完全不允许",4,"未映射")</x:f>
        <x:v>1</x:v>
      </x:c>
      <x:c r="CH21" s="639" t="n">
        <x:f>--AND(BY21&gt;=2,CC21&gt;=2,CE21&gt;=2)</x:f>
        <x:v>0</x:v>
      </x:c>
      <x:c r="CI21" s="679" t="str">
        <x:v>分享给导师或负责人，用于确认是否值得继续投入</x:v>
      </x:c>
      <x:c r="CJ21" s="684" t="n">
        <x:f>--ISNUMBER(SEARCH("分享给导师或负责人",CI21))</x:f>
        <x:v>1</x:v>
      </x:c>
      <x:c r="CK21" s="684" t="n">
        <x:f>--ISNUMBER(SEARCH("分享给同学或同事",CI21))</x:f>
        <x:v>0</x:v>
      </x:c>
      <x:c r="CL21" s="684" t="n">
        <x:f>--ISNUMBER(SEARCH("分享给项目成员",CI21))</x:f>
        <x:v>0</x:v>
      </x:c>
      <x:c r="CM21" s="684" t="n">
        <x:f>--ISNUMBER(SEARCH("仅自己查看和留存",CI21))</x:f>
        <x:v>0</x:v>
      </x:c>
      <x:c r="CN21" s="684" t="n">
        <x:f>--ISNUMBER(SEARCH("不会使用或分享这类报告",CI21))</x:f>
        <x:v>0</x:v>
      </x:c>
      <x:c r="CO21" s="684" t="n">
        <x:f>--ISNUMBER(SEARCH("其他",CI21))</x:f>
        <x:v>0</x:v>
      </x:c>
      <x:c r="CP21" s="688" t="str">
        <x:f>IF(CO21=1,IFERROR(TEXTBEFORE(TEXTAFTER(CI21,"〖"),"〗"),"未说明"),"")</x:f>
      </x:c>
      <x:c r="CQ21" s="692" t="n">
        <x:f>SUM(CJ21:CO21)</x:f>
        <x:v>1</x:v>
      </x:c>
      <x:c r="CR21" s="692" t="n">
        <x:f>SUM(CJ21:CL21)</x:f>
        <x:v>1</x:v>
      </x:c>
      <x:c r="CS21" s="692" t="n">
        <x:f>--(CR21&gt;0)</x:f>
        <x:v>1</x:v>
      </x:c>
      <x:c r="CT21" s="692" t="n">
        <x:f>--AND(CN21=1,CQ21&gt;1)</x:f>
        <x:v>0</x:v>
      </x:c>
      <x:c r="CU21"/>
      <x:c r="CV21"/>
      <x:c r="CW21"/>
      <x:c r="CX21"/>
      <x:c r="CY21"/>
      <x:c r="CZ21"/>
      <x:c r="DA21"/>
      <x:c r="DB21"/>
      <x:c r="DC21"/>
      <x:c r="DD21"/>
      <x:c r="DE21"/>
      <x:c r="DF21"/>
      <x:c r="DG21"/>
      <x:c r="DI21"/>
      <x:c r="DJ21"/>
      <x:c r="EA21"/>
      <x:c r="EB21"/>
      <x:c r="EC21"/>
      <x:c r="ED21"/>
      <x:c r="EE21"/>
      <x:c r="EF21"/>
      <x:c r="EG21"/>
      <x:c r="EH21"/>
      <x:c r="EI21"/>
      <x:c r="EJ21"/>
      <x:c r="EK21"/>
      <x:c r="EL21"/>
      <x:c r="EM21"/>
      <x:c r="EN21"/>
      <x:c r="EO21"/>
      <x:c r="EP21"/>
      <x:c r="EQ21"/>
      <x:c r="ER21"/>
      <x:c r="ES21"/>
      <x:c r="ET21"/>
      <x:c r="EU21"/>
      <x:c r="EV21"/>
      <x:c r="EW21"/>
      <x:c r="EX21"/>
      <x:c r="EY21"/>
      <x:c r="EZ21"/>
      <x:c r="FA21"/>
      <x:c r="FB21"/>
      <x:c r="FC21"/>
      <x:c r="FD21"/>
      <x:c r="FE21"/>
      <x:c r="FF21"/>
      <x:c r="FG21"/>
      <x:c r="FH21"/>
      <x:c r="FI21"/>
      <x:c r="FJ21"/>
      <x:c r="FK21"/>
      <x:c r="FL21"/>
      <x:c r="FM21"/>
      <x:c r="FN21"/>
      <x:c r="FO21"/>
    </x:row>
    <x:row r="22">
      <x:c r="O22"/>
      <x:c r="P22"/>
      <x:c r="Q22"/>
      <x:c r="R22"/>
      <x:c r="S22"/>
      <x:c r="T22"/>
      <x:c r="U22"/>
      <x:c r="V22"/>
      <x:c r="W22"/>
      <x:c r="X22"/>
      <x:c r="Y22"/>
      <x:c r="AA22"/>
      <x:c r="AB22"/>
      <x:c r="AC22"/>
      <x:c r="AD22"/>
      <x:c r="AE22"/>
      <x:c r="AF22"/>
      <x:c r="AG22"/>
      <x:c r="AH22"/>
      <x:c r="AI22"/>
      <x:c r="AJ22"/>
      <x:c r="AK22"/>
      <x:c r="AL22"/>
      <x:c r="AM22"/>
      <x:c r="AN22"/>
      <x:c r="AO22"/>
      <x:c r="AP22"/>
      <x:c r="AQ22"/>
      <x:c r="AR22"/>
      <x:c r="AS22"/>
      <x:c r="AT22"/>
      <x:c r="AU22"/>
      <x:c r="AV22"/>
      <x:c r="AZ22"/>
      <x:c r="BA22"/>
      <x:c r="BB22"/>
      <x:c r="BC22"/>
      <x:c r="BD22"/>
      <x:c r="BE22"/>
      <x:c r="BF22"/>
      <x:c r="BG22"/>
      <x:c r="BH22"/>
      <x:c r="BI22"/>
      <x:c r="BJ22"/>
      <x:c r="BO22"/>
      <x:c r="BP22"/>
      <x:c r="BQ22"/>
      <x:c r="BR22"/>
      <x:c r="BS22"/>
      <x:c r="BT22"/>
      <x:c r="BU22"/>
      <x:c r="BV22"/>
      <x:c r="BW22"/>
      <x:c r="BX22"/>
      <x:c r="BY22"/>
      <x:c r="DI22" s="574"/>
      <x:c r="DJ22" s="574"/>
    </x:row>
    <x:row r="23">
      <x:c r="O23"/>
      <x:c r="P23"/>
      <x:c r="Q23"/>
      <x:c r="R23"/>
      <x:c r="S23"/>
      <x:c r="T23"/>
      <x:c r="U23"/>
      <x:c r="V23"/>
      <x:c r="W23"/>
      <x:c r="X23"/>
      <x:c r="Y23"/>
      <x:c r="AA23"/>
      <x:c r="AB23"/>
      <x:c r="AC23"/>
      <x:c r="AD23"/>
      <x:c r="AE23"/>
      <x:c r="AF23"/>
      <x:c r="AG23"/>
      <x:c r="AH23"/>
      <x:c r="AI23"/>
      <x:c r="AJ23"/>
      <x:c r="AK23"/>
      <x:c r="AL23"/>
      <x:c r="AM23"/>
      <x:c r="AN23"/>
      <x:c r="AO23"/>
      <x:c r="AP23"/>
      <x:c r="AQ23"/>
      <x:c r="AR23"/>
      <x:c r="AS23"/>
      <x:c r="AT23"/>
      <x:c r="AU23"/>
      <x:c r="AV23"/>
      <x:c r="AZ23"/>
      <x:c r="BA23"/>
      <x:c r="BB23"/>
      <x:c r="BC23"/>
      <x:c r="BD23"/>
      <x:c r="BE23"/>
      <x:c r="BF23"/>
      <x:c r="BG23"/>
      <x:c r="BH23"/>
      <x:c r="BI23"/>
      <x:c r="BJ23"/>
      <x:c r="BO23"/>
      <x:c r="BP23"/>
      <x:c r="BQ23"/>
      <x:c r="BR23"/>
      <x:c r="BS23"/>
      <x:c r="BT23"/>
      <x:c r="BU23"/>
      <x:c r="BV23"/>
      <x:c r="BW23"/>
      <x:c r="BX23"/>
      <x:c r="BY23"/>
      <x:c r="DI23" s="574"/>
      <x:c r="DJ23" s="574"/>
    </x:row>
    <x:row r="24">
      <x:c r="O24"/>
      <x:c r="P24"/>
      <x:c r="Q24"/>
      <x:c r="R24"/>
      <x:c r="S24"/>
      <x:c r="T24"/>
      <x:c r="U24"/>
      <x:c r="V24"/>
      <x:c r="W24"/>
      <x:c r="X24"/>
      <x:c r="Y24"/>
      <x:c r="AA24"/>
      <x:c r="AB24"/>
      <x:c r="AC24"/>
      <x:c r="AD24"/>
      <x:c r="AE24"/>
      <x:c r="AF24"/>
      <x:c r="AG24"/>
      <x:c r="AH24"/>
      <x:c r="AI24"/>
      <x:c r="AJ24"/>
      <x:c r="AK24"/>
      <x:c r="AL24"/>
      <x:c r="AM24"/>
      <x:c r="AN24"/>
      <x:c r="AO24"/>
      <x:c r="AP24"/>
      <x:c r="AQ24"/>
      <x:c r="AR24"/>
      <x:c r="AS24"/>
      <x:c r="AT24"/>
      <x:c r="AU24"/>
      <x:c r="AV24"/>
      <x:c r="AZ24"/>
      <x:c r="BA24"/>
      <x:c r="BB24"/>
      <x:c r="BC24"/>
      <x:c r="BD24"/>
      <x:c r="BE24"/>
      <x:c r="BF24"/>
      <x:c r="BG24"/>
      <x:c r="BH24"/>
      <x:c r="BI24"/>
      <x:c r="BJ24"/>
      <x:c r="BO24"/>
      <x:c r="BP24"/>
      <x:c r="BQ24"/>
      <x:c r="BR24"/>
      <x:c r="BS24"/>
      <x:c r="BT24"/>
      <x:c r="BU24"/>
      <x:c r="BV24"/>
      <x:c r="BW24"/>
      <x:c r="BX24"/>
      <x:c r="BY24"/>
      <x:c r="DI24" s="574"/>
      <x:c r="DJ24" s="574"/>
    </x:row>
    <x:row r="25">
      <x:c r="O25"/>
      <x:c r="P25"/>
      <x:c r="Q25"/>
      <x:c r="R25"/>
      <x:c r="S25"/>
      <x:c r="T25"/>
      <x:c r="U25"/>
      <x:c r="V25"/>
      <x:c r="W25"/>
      <x:c r="X25"/>
      <x:c r="Y25"/>
      <x:c r="AA25"/>
      <x:c r="AB25"/>
      <x:c r="AC25"/>
      <x:c r="AD25"/>
      <x:c r="AE25"/>
      <x:c r="AF25"/>
      <x:c r="AG25"/>
      <x:c r="AH25"/>
      <x:c r="AI25"/>
      <x:c r="AJ25"/>
      <x:c r="AK25"/>
      <x:c r="AL25"/>
      <x:c r="AM25"/>
      <x:c r="AN25"/>
      <x:c r="AO25"/>
      <x:c r="AP25"/>
      <x:c r="AQ25"/>
      <x:c r="AR25"/>
      <x:c r="AS25"/>
      <x:c r="AT25"/>
      <x:c r="AU25"/>
      <x:c r="AV25"/>
      <x:c r="AZ25"/>
      <x:c r="BA25"/>
      <x:c r="BB25"/>
      <x:c r="BC25"/>
      <x:c r="BD25"/>
      <x:c r="BE25"/>
      <x:c r="BF25"/>
      <x:c r="BG25"/>
      <x:c r="BH25"/>
      <x:c r="BI25"/>
      <x:c r="BJ25"/>
      <x:c r="BO25"/>
      <x:c r="BP25"/>
      <x:c r="BQ25"/>
      <x:c r="BR25"/>
      <x:c r="BS25"/>
      <x:c r="BT25"/>
      <x:c r="BU25"/>
      <x:c r="BV25"/>
      <x:c r="BW25"/>
      <x:c r="BX25"/>
      <x:c r="BY25"/>
      <x:c r="DI25" s="574"/>
      <x:c r="DJ25" s="574"/>
    </x:row>
  </x:sheetData>
  <x:pageMargins left="0.7" right="0.7" top="0.75" bottom="0.75" header="0.3" footer="0.3"/>
  <x:tableParts count="2">
    <x:tablePart xmlns:r="http://schemas.openxmlformats.org/officeDocument/2006/relationships" r:id="R6630ede6d2a64f84"/>
    <x:tablePart xmlns:r="http://schemas.openxmlformats.org/officeDocument/2006/relationships" r:id="R63e751cd7ee74e2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11" hidden="0" customWidth="1"/>
    <x:col min="4" max="4" width="11" hidden="0" customWidth="1"/>
    <x:col min="5" max="5" width="11" hidden="0" customWidth="1"/>
    <x:col min="6" max="6" width="33" hidden="0" customWidth="1"/>
    <x:col min="7" max="7" width="28" hidden="0" customWidth="1"/>
    <x:col min="9" max="9" width="18" hidden="0" customWidth="1"/>
    <x:col min="10" max="10" width="58" hidden="0" customWidth="1"/>
  </x:cols>
  <x:sheetData>
    <x:row r="1" ht="29" customHeight="1">
      <x:c r="A1" s="101" t="str">
        <x:v>原始匹配值</x:v>
      </x:c>
      <x:c r="B1" s="101" t="str">
        <x:v>展示分类</x:v>
      </x:c>
      <x:c r="C1" s="101" t="str">
        <x:v>数量 n</x:v>
      </x:c>
      <x:c r="D1" s="101" t="str">
        <x:v>分母 N</x:v>
      </x:c>
      <x:c r="E1" s="101" t="str">
        <x:v>比例</x:v>
      </x:c>
      <x:c r="F1" s="101" t="str">
        <x:v>标准报告文本</x:v>
      </x:c>
      <x:c r="G1" s="101" t="str">
        <x:v>备注</x:v>
      </x:c>
      <x:c r="I1" s="144" t="str">
        <x:v>Q8中位时间类别</x:v>
      </x:c>
      <x:c r="J1" s="144" t="str">
        <x:v>结果</x:v>
      </x:c>
    </x:row>
    <x:row r="2" ht="29" customHeight="1">
      <x:c r="A2" s="102" t="str">
        <x:v>30 分钟以内</x:v>
      </x:c>
      <x:c r="B2" s="102" t="str">
        <x:v>30 分钟以内</x:v>
      </x:c>
      <x:c r="C2" s="105" t="n">
        <x:f>COUNTIF(tbl_core_metrics[Q8_时间成本],A2)</x:f>
        <x:v>0</x:v>
      </x:c>
      <x:c r="D2" s="105" t="n">
        <x:f>COUNTIF(tbl_core_metrics[include_in_main_analysis],1)</x:f>
        <x:v>20</x:v>
      </x:c>
      <x:c r="E2" s="108" t="n">
        <x:f>IFERROR(C2/D2,0)</x:f>
        <x:v>0</x:v>
      </x:c>
      <x:c r="F2" s="33" t="str">
        <x:f>B2&amp;"："&amp;C2&amp;"/"&amp;D2&amp;"（"&amp;TEXT(E2,"0.0%")&amp;"）"</x:f>
        <x:v>30 分钟以内：0/20（0.0%）</x:v>
      </x:c>
      <x:c r="G2" s="33" t="str">
        <x:f>IF(C2=0,"本轮未覆盖",IF(C2&lt;=3,"小样本，仅作探索性描述",""))</x:f>
        <x:v>本轮未覆盖</x:v>
      </x:c>
      <x:c r="I2" s="145" t="str">
        <x:v>N_obtained</x:v>
      </x:c>
      <x:c r="J2" s="148" t="n">
        <x:f>COUNT(tbl_core_metrics[Q8_order_code])</x:f>
        <x:v>20</x:v>
      </x:c>
    </x:row>
    <x:row r="3" ht="29" customHeight="1">
      <x:c r="A3" s="103" t="str">
        <x:v>30 分钟—2 小时</x:v>
      </x:c>
      <x:c r="B3" s="103" t="str">
        <x:v>30 分钟—2 小时</x:v>
      </x:c>
      <x:c r="C3" s="106" t="n">
        <x:f>COUNTIF(tbl_core_metrics[Q8_时间成本],A3)</x:f>
        <x:v>3</x:v>
      </x:c>
      <x:c r="D3" s="106" t="n">
        <x:f>COUNTIF(tbl_core_metrics[include_in_main_analysis],1)</x:f>
        <x:v>20</x:v>
      </x:c>
      <x:c r="E3" s="109" t="n">
        <x:f>IFERROR(C3/D3,0)</x:f>
        <x:v>0.15</x:v>
      </x:c>
      <x:c r="F3" s="34" t="str">
        <x:f>B3&amp;"："&amp;C3&amp;"/"&amp;D3&amp;"（"&amp;TEXT(E3,"0.0%")&amp;"）"</x:f>
        <x:v>30 分钟—2 小时：3/20（15.0%）</x:v>
      </x:c>
      <x:c r="G3" s="34" t="str">
        <x:f>IF(C3=0,"本轮未覆盖",IF(C3&lt;=3,"小样本，仅作探索性描述",""))</x:f>
        <x:v>小样本，仅作探索性描述</x:v>
      </x:c>
      <x:c r="I3" s="145" t="str">
        <x:v>中位代码</x:v>
      </x:c>
      <x:c r="J3" s="149" t="n">
        <x:f>MEDIAN(tbl_core_metrics[Q8_order_code])</x:f>
        <x:v>5</x:v>
      </x:c>
    </x:row>
    <x:row r="4" ht="29" customHeight="1">
      <x:c r="A4" s="103" t="str">
        <x:v>2—4 小时</x:v>
      </x:c>
      <x:c r="B4" s="103" t="str">
        <x:v>2—4 小时</x:v>
      </x:c>
      <x:c r="C4" s="106" t="n">
        <x:f>COUNTIF(tbl_core_metrics[Q8_时间成本],A4)</x:f>
        <x:v>1</x:v>
      </x:c>
      <x:c r="D4" s="106" t="n">
        <x:f>COUNTIF(tbl_core_metrics[include_in_main_analysis],1)</x:f>
        <x:v>20</x:v>
      </x:c>
      <x:c r="E4" s="109" t="n">
        <x:f>IFERROR(C4/D4,0)</x:f>
        <x:v>0.05</x:v>
      </x:c>
      <x:c r="F4" s="34" t="str">
        <x:f>B4&amp;"："&amp;C4&amp;"/"&amp;D4&amp;"（"&amp;TEXT(E4,"0.0%")&amp;"）"</x:f>
        <x:v>2—4 小时：1/20（5.0%）</x:v>
      </x:c>
      <x:c r="G4" s="34" t="str">
        <x:f>IF(C4=0,"本轮未覆盖",IF(C4&lt;=3,"小样本，仅作探索性描述",""))</x:f>
        <x:v>小样本，仅作探索性描述</x:v>
      </x:c>
      <x:c r="I4" s="145" t="str">
        <x:v>中位类别解释</x:v>
      </x:c>
      <x:c r="J4" s="146" t="str">
        <x:f>SWITCH(J3,1,"30 分钟以内",2,"30 分钟—2 小时",3,"2—4 小时",4,"4—8 小时",5,"1—3 天",6,"4—7 天",7,"超过 1 周",4.5,"介于4—8小时和1—3天之间","请按相邻区间解释")</x:f>
        <x:v>1—3 天</x:v>
      </x:c>
    </x:row>
    <x:row r="5" ht="40" customHeight="1">
      <x:c r="A5" s="103" t="str">
        <x:v>4—8 小时</x:v>
      </x:c>
      <x:c r="B5" s="103" t="str">
        <x:v>4—8 小时</x:v>
      </x:c>
      <x:c r="C5" s="106" t="n">
        <x:f>COUNTIF(tbl_core_metrics[Q8_时间成本],A5)</x:f>
        <x:v>2</x:v>
      </x:c>
      <x:c r="D5" s="106" t="n">
        <x:f>COUNTIF(tbl_core_metrics[include_in_main_analysis],1)</x:f>
        <x:v>20</x:v>
      </x:c>
      <x:c r="E5" s="109" t="n">
        <x:f>IFERROR(C5/D5,0)</x:f>
        <x:v>0.1</x:v>
      </x:c>
      <x:c r="F5" s="34" t="str">
        <x:f>B5&amp;"："&amp;C5&amp;"/"&amp;D5&amp;"（"&amp;TEXT(E5,"0.0%")&amp;"）"</x:f>
        <x:v>4—8 小时：2/20（10.0%）</x:v>
      </x:c>
      <x:c r="G5" s="34" t="str">
        <x:f>IF(C5=0,"本轮未覆盖",IF(C5&lt;=3,"小样本，仅作探索性描述",""))</x:f>
        <x:v>小样本，仅作探索性描述</x:v>
      </x:c>
      <x:c r="I5" s="145" t="str">
        <x:v>统计口径</x:v>
      </x:c>
      <x:c r="J5" s="147" t="str">
        <x:v>报告分布和中位类别；不将有序区间换算为平均小时数</x:v>
      </x:c>
    </x:row>
    <x:row r="6" ht="29" customHeight="1">
      <x:c r="A6" s="103" t="str">
        <x:v>1—3 天</x:v>
      </x:c>
      <x:c r="B6" s="103" t="str">
        <x:v>1—3 天</x:v>
      </x:c>
      <x:c r="C6" s="106" t="n">
        <x:f>COUNTIF(tbl_core_metrics[Q8_时间成本],A6)</x:f>
        <x:v>6</x:v>
      </x:c>
      <x:c r="D6" s="106" t="n">
        <x:f>COUNTIF(tbl_core_metrics[include_in_main_analysis],1)</x:f>
        <x:v>20</x:v>
      </x:c>
      <x:c r="E6" s="109" t="n">
        <x:f>IFERROR(C6/D6,0)</x:f>
        <x:v>0.3</x:v>
      </x:c>
      <x:c r="F6" s="34" t="str">
        <x:f>B6&amp;"："&amp;C6&amp;"/"&amp;D6&amp;"（"&amp;TEXT(E6,"0.0%")&amp;"）"</x:f>
        <x:v>1—3 天：6/20（30.0%）</x:v>
      </x:c>
      <x:c r="G6" s="34" t="str">
        <x:f>IF(C6=0,"本轮未覆盖",IF(C6&lt;=3,"小样本，仅作探索性描述",""))</x:f>
      </x:c>
    </x:row>
    <x:row r="7" ht="30" customHeight="1">
      <x:c r="A7" s="103" t="str">
        <x:v>4—7 天</x:v>
      </x:c>
      <x:c r="B7" s="103" t="str">
        <x:v>4—7 天</x:v>
      </x:c>
      <x:c r="C7" s="106" t="n">
        <x:f>COUNTIF(tbl_core_metrics[Q8_时间成本],A7)</x:f>
        <x:v>3</x:v>
      </x:c>
      <x:c r="D7" s="106" t="n">
        <x:f>COUNTIF(tbl_core_metrics[include_in_main_analysis],1)</x:f>
        <x:v>20</x:v>
      </x:c>
      <x:c r="E7" s="109" t="n">
        <x:f>IFERROR(C7/D7,0)</x:f>
        <x:v>0.15</x:v>
      </x:c>
      <x:c r="F7" s="34" t="str">
        <x:f>B7&amp;"："&amp;C7&amp;"/"&amp;D7&amp;"（"&amp;TEXT(E7,"0.0%")&amp;"）"</x:f>
        <x:v>4—7 天：3/20（15.0%）</x:v>
      </x:c>
      <x:c r="G7" s="34" t="str">
        <x:f>IF(C7=0,"本轮未覆盖",IF(C7&lt;=3,"小样本，仅作探索性描述",""))</x:f>
        <x:v>小样本，仅作探索性描述</x:v>
      </x:c>
      <x:c r="I7" s="160" t="str">
        <x:v>Q8结论</x:v>
      </x:c>
      <x:c r="J7" s="160" t="str">
        <x:v>已验收事实</x:v>
      </x:c>
    </x:row>
    <x:row r="8" ht="30" customHeight="1">
      <x:c r="A8" s="103" t="str">
        <x:v>超过 1 周</x:v>
      </x:c>
      <x:c r="B8" s="103" t="str">
        <x:v>超过 1 周</x:v>
      </x:c>
      <x:c r="C8" s="106" t="n">
        <x:f>COUNTIF(tbl_core_metrics[Q8_时间成本],A8)</x:f>
        <x:v>5</x:v>
      </x:c>
      <x:c r="D8" s="106" t="n">
        <x:f>COUNTIF(tbl_core_metrics[include_in_main_analysis],1)</x:f>
        <x:v>20</x:v>
      </x:c>
      <x:c r="E8" s="109" t="n">
        <x:f>IFERROR(C8/D8,0)</x:f>
        <x:v>0.25</x:v>
      </x:c>
      <x:c r="F8" s="34" t="str">
        <x:f>B8&amp;"："&amp;C8&amp;"/"&amp;D8&amp;"（"&amp;TEXT(E8,"0.0%")&amp;"）"</x:f>
        <x:v>超过 1 周：5/20（25.0%）</x:v>
      </x:c>
      <x:c r="G8" s="34" t="str">
        <x:f>IF(C8=0,"本轮未覆盖",IF(C8&lt;=3,"小样本，仅作探索性描述",""))</x:f>
      </x:c>
      <x:c r="I8" s="161" t="str">
        <x:v>样本覆盖</x:v>
      </x:c>
      <x:c r="J8" s="162" t="str">
        <x:f>"主分析分母为 N="&amp;D2&amp;"，全部样本均已获得可用结果。"</x:f>
        <x:v>主分析分母为 N=20，全部样本均已获得可用结果。</x:v>
      </x:c>
    </x:row>
    <x:row r="9" ht="30" customHeight="1">
      <x:c r="A9" s="104" t="str">
        <x:v>尚未获得可用结果</x:v>
      </x:c>
      <x:c r="B9" s="104" t="str">
        <x:v>尚未获得可用结果</x:v>
      </x:c>
      <x:c r="C9" s="107" t="n">
        <x:f>COUNTIF(tbl_core_metrics[Q8_时间成本],A9)</x:f>
        <x:v>0</x:v>
      </x:c>
      <x:c r="D9" s="107" t="n">
        <x:f>COUNTIF(tbl_core_metrics[include_in_main_analysis],1)</x:f>
        <x:v>20</x:v>
      </x:c>
      <x:c r="E9" s="110" t="n">
        <x:f>IFERROR(C9/D9,0)</x:f>
        <x:v>0</x:v>
      </x:c>
      <x:c r="F9" s="35" t="str">
        <x:f>B9&amp;"："&amp;C9&amp;"/"&amp;D9&amp;"（"&amp;TEXT(E9,"0.0%")&amp;"）"</x:f>
        <x:v>尚未获得可用结果：0/20（0.0%）</x:v>
      </x:c>
      <x:c r="G9" s="35" t="str">
        <x:f>IF(C9=0,"本轮未覆盖",IF(C9&lt;=3,"小样本，仅作探索性描述",""))</x:f>
        <x:v>本轮未覆盖</x:v>
      </x:c>
      <x:c r="I9" s="161" t="str">
        <x:v>中位类别</x:v>
      </x:c>
      <x:c r="J9" s="162" t="str">
        <x:f>"时间成本的中位类别为 "&amp;J4&amp;"。"</x:f>
        <x:v>时间成本的中位类别为 1—3 天。</x:v>
      </x:c>
    </x:row>
    <x:row r="10" ht="45" customHeight="1">
      <x:c r="I10" s="161" t="str">
        <x:v>统计限制</x:v>
      </x:c>
      <x:c r="J10" s="162" t="str">
        <x:v>Q8 是有序区间变量，因此不计算“平均小时数”，也不把“超过1周”强行转换成数值。</x:v>
      </x:c>
    </x:row>
  </x:sheetData>
  <x:pageMargins left="0.7" right="0.7" top="0.75" bottom="0.75" header="0.3" footer="0.3"/>
  <x:tableParts count="1">
    <x:tablePart xmlns:r="http://schemas.openxmlformats.org/officeDocument/2006/relationships" r:id="Rf75feac38121456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34" hidden="0" customWidth="1"/>
    <x:col min="7" max="7" width="26" hidden="0" customWidth="1"/>
  </x:cols>
  <x:sheetData>
    <x:row r="1" ht="24" customHeight="1">
      <x:c r="A1" s="216" t="str">
        <x:v>展示分类</x:v>
      </x:c>
      <x:c r="B1" s="216" t="str">
        <x:v>数量 n</x:v>
      </x:c>
      <x:c r="C1" s="216" t="str">
        <x:v>分母 N</x:v>
      </x:c>
      <x:c r="D1" s="216" t="str">
        <x:v>比例</x:v>
      </x:c>
      <x:c r="E1" s="216" t="str">
        <x:v>排名</x:v>
      </x:c>
      <x:c r="F1" s="216" t="str">
        <x:v>标准报告文本</x:v>
      </x:c>
      <x:c r="G1" s="216" t="str">
        <x:v>备注</x:v>
      </x:c>
    </x:row>
    <x:row r="2" ht="24" customHeight="1">
      <x:c r="A2" s="217" t="str">
        <x:v>前期了解并判断</x:v>
      </x:c>
      <x:c r="B2" s="219" t="n">
        <x:f>COUNTIF(tbl_core_metrics[Q9_展示分类],A2)</x:f>
        <x:v>3</x:v>
      </x:c>
      <x:c r="C2" s="219" t="n">
        <x:f>COUNTIF(tbl_core_metrics[include_in_main_analysis],1)</x:f>
        <x:v>20</x:v>
      </x:c>
      <x:c r="D2" s="220" t="n">
        <x:f>IFERROR(B2/C2,0)</x:f>
        <x:v>0.15</x:v>
      </x:c>
      <x:c r="E2" s="219" t="n">
        <x:f>RANK.EQ(B2,$B$2:$B$10,0)</x:f>
        <x:v>2</x:v>
      </x:c>
      <x:c r="F2" s="12" t="str">
        <x:f>A2&amp;"："&amp;B2&amp;"/"&amp;C2&amp;"（"&amp;TEXT(D2,"0.0%")&amp;"）"</x:f>
        <x:v>前期了解并判断：3/20（15.0%）</x:v>
      </x:c>
      <x:c r="G2" s="12" t="str">
        <x:f>IF(B2=0,"本轮未覆盖",IF(B2&lt;=3,"小样本，仅作探索性描述",""))</x:f>
        <x:v>小样本，仅作探索性描述</x:v>
      </x:c>
    </x:row>
    <x:row r="3" ht="24" customHeight="1">
      <x:c r="A3" s="217" t="str">
        <x:v>获取数据或权重</x:v>
      </x:c>
      <x:c r="B3" s="219" t="n">
        <x:f>COUNTIF(tbl_core_metrics[Q9_展示分类],A3)</x:f>
        <x:v>2</x:v>
      </x:c>
      <x:c r="C3" s="219" t="n">
        <x:f>COUNTIF(tbl_core_metrics[include_in_main_analysis],1)</x:f>
        <x:v>20</x:v>
      </x:c>
      <x:c r="D3" s="220" t="n">
        <x:f>IFERROR(B3/C3,0)</x:f>
        <x:v>0.1</x:v>
      </x:c>
      <x:c r="E3" s="219" t="n">
        <x:f>RANK.EQ(B3,$B$2:$B$10,0)</x:f>
        <x:v>4</x:v>
      </x:c>
      <x:c r="F3" s="12" t="str">
        <x:f>A3&amp;"："&amp;B3&amp;"/"&amp;C3&amp;"（"&amp;TEXT(D3,"0.0%")&amp;"）"</x:f>
        <x:v>获取数据或权重：2/20（10.0%）</x:v>
      </x:c>
      <x:c r="G3" s="12" t="str">
        <x:f>IF(B3=0,"本轮未覆盖",IF(B3&lt;=3,"小样本，仅作探索性描述",""))</x:f>
        <x:v>小样本，仅作探索性描述</x:v>
      </x:c>
    </x:row>
    <x:row r="4" ht="24" customHeight="1">
      <x:c r="A4" s="217" t="str">
        <x:v>安装依赖并配置环境</x:v>
      </x:c>
      <x:c r="B4" s="219" t="n">
        <x:f>COUNTIF(tbl_core_metrics[Q9_展示分类],A4)</x:f>
        <x:v>2</x:v>
      </x:c>
      <x:c r="C4" s="219" t="n">
        <x:f>COUNTIF(tbl_core_metrics[include_in_main_analysis],1)</x:f>
        <x:v>20</x:v>
      </x:c>
      <x:c r="D4" s="220" t="n">
        <x:f>IFERROR(B4/C4,0)</x:f>
        <x:v>0.1</x:v>
      </x:c>
      <x:c r="E4" s="219" t="n">
        <x:f>RANK.EQ(B4,$B$2:$B$10,0)</x:f>
        <x:v>4</x:v>
      </x:c>
      <x:c r="F4" s="12" t="str">
        <x:f>A4&amp;"："&amp;B4&amp;"/"&amp;C4&amp;"（"&amp;TEXT(D4,"0.0%")&amp;"）"</x:f>
        <x:v>安装依赖并配置环境：2/20（10.0%）</x:v>
      </x:c>
      <x:c r="G4" s="12" t="str">
        <x:f>IF(B4=0,"本轮未覆盖",IF(B4&lt;=3,"小样本，仅作探索性描述",""))</x:f>
        <x:v>小样本，仅作探索性描述</x:v>
      </x:c>
    </x:row>
    <x:row r="5" ht="24" customHeight="1">
      <x:c r="A5" s="217" t="str">
        <x:v>准备和预处理数据</x:v>
      </x:c>
      <x:c r="B5" s="219" t="n">
        <x:f>COUNTIF(tbl_core_metrics[Q9_展示分类],A5)</x:f>
        <x:v>2</x:v>
      </x:c>
      <x:c r="C5" s="219" t="n">
        <x:f>COUNTIF(tbl_core_metrics[include_in_main_analysis],1)</x:f>
        <x:v>20</x:v>
      </x:c>
      <x:c r="D5" s="220" t="n">
        <x:f>IFERROR(B5/C5,0)</x:f>
        <x:v>0.1</x:v>
      </x:c>
      <x:c r="E5" s="219" t="n">
        <x:f>RANK.EQ(B5,$B$2:$B$10,0)</x:f>
        <x:v>4</x:v>
      </x:c>
      <x:c r="F5" s="12" t="str">
        <x:f>A5&amp;"："&amp;B5&amp;"/"&amp;C5&amp;"（"&amp;TEXT(D5,"0.0%")&amp;"）"</x:f>
        <x:v>准备和预处理数据：2/20（10.0%）</x:v>
      </x:c>
      <x:c r="G5" s="12" t="str">
        <x:f>IF(B5=0,"本轮未覆盖",IF(B5&lt;=3,"小样本，仅作探索性描述",""))</x:f>
        <x:v>小样本，仅作探索性描述</x:v>
      </x:c>
    </x:row>
    <x:row r="6" ht="24" customHeight="1">
      <x:c r="A6" s="217" t="str">
        <x:v>运行训练/推理/测试</x:v>
      </x:c>
      <x:c r="B6" s="219" t="n">
        <x:f>COUNTIF(tbl_core_metrics[Q9_展示分类],A6)</x:f>
        <x:v>7</x:v>
      </x:c>
      <x:c r="C6" s="219" t="n">
        <x:f>COUNTIF(tbl_core_metrics[include_in_main_analysis],1)</x:f>
        <x:v>20</x:v>
      </x:c>
      <x:c r="D6" s="220" t="n">
        <x:f>IFERROR(B6/C6,0)</x:f>
        <x:v>0.35</x:v>
      </x:c>
      <x:c r="E6" s="219" t="n">
        <x:f>RANK.EQ(B6,$B$2:$B$10,0)</x:f>
        <x:v>1</x:v>
      </x:c>
      <x:c r="F6" s="12" t="str">
        <x:f>A6&amp;"："&amp;B6&amp;"/"&amp;C6&amp;"（"&amp;TEXT(D6,"0.0%")&amp;"）"</x:f>
        <x:v>运行训练/推理/测试：7/20（35.0%）</x:v>
      </x:c>
      <x:c r="G6" s="12" t="str">
        <x:f>IF(B6=0,"本轮未覆盖",IF(B6&lt;=3,"小样本，仅作探索性描述",""))</x:f>
      </x:c>
    </x:row>
    <x:row r="7" ht="24" customHeight="1">
      <x:c r="A7" s="217" t="str">
        <x:v>排查运行错误</x:v>
      </x:c>
      <x:c r="B7" s="219" t="n">
        <x:f>COUNTIF(tbl_core_metrics[Q9_展示分类],A7)</x:f>
        <x:v>3</x:v>
      </x:c>
      <x:c r="C7" s="219" t="n">
        <x:f>COUNTIF(tbl_core_metrics[include_in_main_analysis],1)</x:f>
        <x:v>20</x:v>
      </x:c>
      <x:c r="D7" s="220" t="n">
        <x:f>IFERROR(B7/C7,0)</x:f>
        <x:v>0.15</x:v>
      </x:c>
      <x:c r="E7" s="219" t="n">
        <x:f>RANK.EQ(B7,$B$2:$B$10,0)</x:f>
        <x:v>2</x:v>
      </x:c>
      <x:c r="F7" s="12" t="str">
        <x:f>A7&amp;"："&amp;B7&amp;"/"&amp;C7&amp;"（"&amp;TEXT(D7,"0.0%")&amp;"）"</x:f>
        <x:v>排查运行错误：3/20（15.0%）</x:v>
      </x:c>
      <x:c r="G7" s="12" t="str">
        <x:f>IF(B7=0,"本轮未覆盖",IF(B7&lt;=3,"小样本，仅作探索性描述",""))</x:f>
        <x:v>小样本，仅作探索性描述</x:v>
      </x:c>
    </x:row>
    <x:row r="8" ht="24" customHeight="1">
      <x:c r="A8" s="217" t="str">
        <x:v>计算指标并对齐结果</x:v>
      </x:c>
      <x:c r="B8" s="219" t="n">
        <x:f>COUNTIF(tbl_core_metrics[Q9_展示分类],A8)</x:f>
        <x:v>1</x:v>
      </x:c>
      <x:c r="C8" s="219" t="n">
        <x:f>COUNTIF(tbl_core_metrics[include_in_main_analysis],1)</x:f>
        <x:v>20</x:v>
      </x:c>
      <x:c r="D8" s="220" t="n">
        <x:f>IFERROR(B8/C8,0)</x:f>
        <x:v>0.05</x:v>
      </x:c>
      <x:c r="E8" s="219" t="n">
        <x:f>RANK.EQ(B8,$B$2:$B$10,0)</x:f>
        <x:v>7</x:v>
      </x:c>
      <x:c r="F8" s="12" t="str">
        <x:f>A8&amp;"："&amp;B8&amp;"/"&amp;C8&amp;"（"&amp;TEXT(D8,"0.0%")&amp;"）"</x:f>
        <x:v>计算指标并对齐结果：1/20（5.0%）</x:v>
      </x:c>
      <x:c r="G8" s="12" t="str">
        <x:f>IF(B8=0,"本轮未覆盖",IF(B8&lt;=3,"小样本，仅作探索性描述",""))</x:f>
        <x:v>小样本，仅作探索性描述</x:v>
      </x:c>
    </x:row>
    <x:row r="9" ht="24" customHeight="1">
      <x:c r="A9" s="217" t="str">
        <x:v>各环节接近</x:v>
      </x:c>
      <x:c r="B9" s="219" t="n">
        <x:f>COUNTIF(tbl_core_metrics[Q9_展示分类],A9)</x:f>
        <x:v>0</x:v>
      </x:c>
      <x:c r="C9" s="219" t="n">
        <x:f>COUNTIF(tbl_core_metrics[include_in_main_analysis],1)</x:f>
        <x:v>20</x:v>
      </x:c>
      <x:c r="D9" s="220" t="n">
        <x:f>IFERROR(B9/C9,0)</x:f>
        <x:v>0</x:v>
      </x:c>
      <x:c r="E9" s="219" t="n">
        <x:f>RANK.EQ(B9,$B$2:$B$10,0)</x:f>
        <x:v>8</x:v>
      </x:c>
      <x:c r="F9" s="12" t="str">
        <x:f>A9&amp;"："&amp;B9&amp;"/"&amp;C9&amp;"（"&amp;TEXT(D9,"0.0%")&amp;"）"</x:f>
        <x:v>各环节接近：0/20（0.0%）</x:v>
      </x:c>
      <x:c r="G9" s="12" t="str">
        <x:f>IF(B9=0,"本轮未覆盖",IF(B9&lt;=3,"小样本，仅作探索性描述",""))</x:f>
        <x:v>本轮未覆盖</x:v>
      </x:c>
    </x:row>
    <x:row r="10" ht="24" customHeight="1">
      <x:c r="A10" s="217" t="str">
        <x:v>其他</x:v>
      </x:c>
      <x:c r="B10" s="219" t="n">
        <x:f>COUNTIF(tbl_core_metrics[Q9_展示分类],A10)</x:f>
        <x:v>0</x:v>
      </x:c>
      <x:c r="C10" s="219" t="n">
        <x:f>COUNTIF(tbl_core_metrics[include_in_main_analysis],1)</x:f>
        <x:v>20</x:v>
      </x:c>
      <x:c r="D10" s="220" t="n">
        <x:f>IFERROR(B10/C10,0)</x:f>
        <x:v>0</x:v>
      </x:c>
      <x:c r="E10" s="219" t="n">
        <x:f>RANK.EQ(B10,$B$2:$B$10,0)</x:f>
        <x:v>8</x:v>
      </x:c>
      <x:c r="F10" s="12" t="str">
        <x:f>A10&amp;"："&amp;B10&amp;"/"&amp;C10&amp;"（"&amp;TEXT(D10,"0.0%")&amp;"）"</x:f>
        <x:v>其他：0/20（0.0%）</x:v>
      </x:c>
      <x:c r="G10" s="12" t="str">
        <x:f>IF(B10=0,"本轮未覆盖",IF(B10&lt;=3,"小样本，仅作探索性描述",""))</x:f>
        <x:v>本轮未覆盖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36" hidden="0" customWidth="1"/>
    <x:col min="7" max="7" width="27" hidden="0" customWidth="1"/>
    <x:col min="9" max="9" width="31" hidden="0" customWidth="1"/>
    <x:col min="10" max="10" width="64" hidden="0" customWidth="1"/>
  </x:cols>
  <x:sheetData>
    <x:row r="1" ht="26" customHeight="1">
      <x:c r="A1" s="274" t="str">
        <x:v>展示分类</x:v>
      </x:c>
      <x:c r="B1" s="274" t="str">
        <x:v>数量 n</x:v>
      </x:c>
      <x:c r="C1" s="274" t="str">
        <x:v>分母 N</x:v>
      </x:c>
      <x:c r="D1" s="274" t="str">
        <x:v>比例</x:v>
      </x:c>
      <x:c r="E1" s="274" t="str">
        <x:v>排名</x:v>
      </x:c>
      <x:c r="F1" s="274" t="str">
        <x:v>标准报告文本</x:v>
      </x:c>
      <x:c r="G1" s="274" t="str">
        <x:v>备注</x:v>
      </x:c>
      <x:c r="I1" s="290" t="str">
        <x:v>Q9—Q10 描述性比较</x:v>
      </x:c>
      <x:c r="J1" s="290" t="str">
        <x:v>结果</x:v>
      </x:c>
    </x:row>
    <x:row r="2" ht="26" customHeight="1">
      <x:c r="A2" s="275" t="str">
        <x:v>前期了解并判断</x:v>
      </x:c>
      <x:c r="B2" s="219" t="n">
        <x:f>COUNTIF(tbl_core_metrics[Q10_展示分类],A2)</x:f>
        <x:v>0</x:v>
      </x:c>
      <x:c r="C2" s="219" t="n">
        <x:f>COUNTIF(tbl_core_metrics[include_in_main_analysis],1)</x:f>
        <x:v>20</x:v>
      </x:c>
      <x:c r="D2" s="220" t="n">
        <x:f>IFERROR(B2/C2,0)</x:f>
        <x:v>0</x:v>
      </x:c>
      <x:c r="E2" s="219" t="n">
        <x:f>RANK.EQ(B2,$B$2:$B$10,0)</x:f>
        <x:v>1</x:v>
      </x:c>
      <x:c r="F2" s="12" t="str">
        <x:f>A2&amp;"："&amp;B2&amp;"/"&amp;C2&amp;"（"&amp;TEXT(D2,"0.0%")&amp;"）"</x:f>
        <x:v>前期了解并判断：0/20（0.0%）</x:v>
      </x:c>
      <x:c r="G2" s="12" t="str">
        <x:f>IF(B2=0,"本轮未覆盖",IF(B2&lt;=3,"小样本，仅作探索性描述",""))</x:f>
        <x:v>本轮未覆盖</x:v>
      </x:c>
      <x:c r="I2" s="69" t="str">
        <x:v>选择同一公共环节的人数</x:v>
      </x:c>
      <x:c r="J2" s="293" t="n">
        <x:f>SUMPRODUCT(--('02_有效样本核心题'!$H$2:$H$21='02_有效样本核心题'!$L$2:$L$21))</x:f>
        <x:v>0</x:v>
      </x:c>
    </x:row>
    <x:row r="3" ht="26" customHeight="1">
      <x:c r="A3" s="275" t="str">
        <x:v>获取数据或权重</x:v>
      </x:c>
      <x:c r="B3" s="219" t="n">
        <x:f>COUNTIF(tbl_core_metrics[Q10_展示分类],A3)</x:f>
        <x:v>0</x:v>
      </x:c>
      <x:c r="C3" s="219" t="n">
        <x:f>COUNTIF(tbl_core_metrics[include_in_main_analysis],1)</x:f>
        <x:v>20</x:v>
      </x:c>
      <x:c r="D3" s="220" t="n">
        <x:f>IFERROR(B3/C3,0)</x:f>
        <x:v>0</x:v>
      </x:c>
      <x:c r="E3" s="219" t="n">
        <x:f>RANK.EQ(B3,$B$2:$B$10,0)</x:f>
        <x:v>1</x:v>
      </x:c>
      <x:c r="F3" s="12" t="str">
        <x:f>A3&amp;"："&amp;B3&amp;"/"&amp;C3&amp;"（"&amp;TEXT(D3,"0.0%")&amp;"）"</x:f>
        <x:v>获取数据或权重：0/20（0.0%）</x:v>
      </x:c>
      <x:c r="G3" s="12" t="str">
        <x:f>IF(B3=0,"本轮未覆盖",IF(B3&lt;=3,"小样本，仅作探索性描述",""))</x:f>
        <x:v>本轮未覆盖</x:v>
      </x:c>
      <x:c r="I3" s="69" t="str">
        <x:v>选择不同环节的人数</x:v>
      </x:c>
      <x:c r="J3" s="293" t="n">
        <x:f>ROWS('02_有效样本核心题'!$A$2:$A$21)-J2</x:f>
        <x:v>20</x:v>
      </x:c>
    </x:row>
    <x:row r="4" ht="24" customHeight="1">
      <x:c r="A4" s="275" t="str">
        <x:v>安装依赖并配置环境</x:v>
      </x:c>
      <x:c r="B4" s="219" t="n">
        <x:f>COUNTIF(tbl_core_metrics[Q10_展示分类],A4)</x:f>
        <x:v>0</x:v>
      </x:c>
      <x:c r="C4" s="219" t="n">
        <x:f>COUNTIF(tbl_core_metrics[include_in_main_analysis],1)</x:f>
        <x:v>20</x:v>
      </x:c>
      <x:c r="D4" s="220" t="n">
        <x:f>IFERROR(B4/C4,0)</x:f>
        <x:v>0</x:v>
      </x:c>
      <x:c r="E4" s="219" t="n">
        <x:f>RANK.EQ(B4,$B$2:$B$10,0)</x:f>
        <x:v>1</x:v>
      </x:c>
      <x:c r="F4" s="12" t="str">
        <x:f>A4&amp;"："&amp;B4&amp;"/"&amp;C4&amp;"（"&amp;TEXT(D4,"0.0%")&amp;"）"</x:f>
        <x:v>安装依赖并配置环境：0/20（0.0%）</x:v>
      </x:c>
      <x:c r="G4" s="12" t="str">
        <x:f>IF(B4=0,"本轮未覆盖",IF(B4&lt;=3,"小样本，仅作探索性描述",""))</x:f>
        <x:v>本轮未覆盖</x:v>
      </x:c>
    </x:row>
    <x:row r="5" ht="34" customHeight="1">
      <x:c r="A5" s="275" t="str">
        <x:v>准备和预处理数据</x:v>
      </x:c>
      <x:c r="B5" s="219" t="n">
        <x:f>COUNTIF(tbl_core_metrics[Q10_展示分类],A5)</x:f>
        <x:v>0</x:v>
      </x:c>
      <x:c r="C5" s="219" t="n">
        <x:f>COUNTIF(tbl_core_metrics[include_in_main_analysis],1)</x:f>
        <x:v>20</x:v>
      </x:c>
      <x:c r="D5" s="220" t="n">
        <x:f>IFERROR(B5/C5,0)</x:f>
        <x:v>0</x:v>
      </x:c>
      <x:c r="E5" s="219" t="n">
        <x:f>RANK.EQ(B5,$B$2:$B$10,0)</x:f>
        <x:v>1</x:v>
      </x:c>
      <x:c r="F5" s="12" t="str">
        <x:f>A5&amp;"："&amp;B5&amp;"/"&amp;C5&amp;"（"&amp;TEXT(D5,"0.0%")&amp;"）"</x:f>
        <x:v>准备和预处理数据：0/20（0.0%）</x:v>
      </x:c>
      <x:c r="G5" s="12" t="str">
        <x:f>IF(B5=0,"本轮未覆盖",IF(B5&lt;=3,"小样本，仅作探索性描述",""))</x:f>
        <x:v>本轮未覆盖</x:v>
      </x:c>
      <x:c r="I5" s="297" t="str">
        <x:v>解释原则</x:v>
      </x:c>
      <x:c r="J5" s="297" t="str">
        <x:v>结果不同不属于矛盾，不触发人工复核或删除。</x:v>
      </x:c>
    </x:row>
    <x:row r="6" ht="58" customHeight="1">
      <x:c r="A6" s="275" t="str">
        <x:v>运行训练/推理/测试</x:v>
      </x:c>
      <x:c r="B6" s="219" t="n">
        <x:f>COUNTIF(tbl_core_metrics[Q10_展示分类],A6)</x:f>
        <x:v>0</x:v>
      </x:c>
      <x:c r="C6" s="219" t="n">
        <x:f>COUNTIF(tbl_core_metrics[include_in_main_analysis],1)</x:f>
        <x:v>20</x:v>
      </x:c>
      <x:c r="D6" s="220" t="n">
        <x:f>IFERROR(B6/C6,0)</x:f>
        <x:v>0</x:v>
      </x:c>
      <x:c r="E6" s="219" t="n">
        <x:f>RANK.EQ(B6,$B$2:$B$10,0)</x:f>
        <x:v>1</x:v>
      </x:c>
      <x:c r="F6" s="12" t="str">
        <x:f>A6&amp;"："&amp;B6&amp;"/"&amp;C6&amp;"（"&amp;TEXT(D6,"0.0%")&amp;"）"</x:f>
        <x:v>运行训练/推理/测试：0/20（0.0%）</x:v>
      </x:c>
      <x:c r="G6" s="12" t="str">
        <x:f>IF(B6=0,"本轮未覆盖",IF(B6&lt;=3,"小样本，仅作探索性描述",""))</x:f>
        <x:v>本轮未覆盖</x:v>
      </x:c>
      <x:c r="I6" s="297" t="str">
        <x:v>示例</x:v>
      </x:c>
      <x:c r="J6" s="297" t="str">
        <x:v>Q9 为运行训练/推理/测试、Q10 为获取数据或权重，表示运行累计耗时最多，但数据或权重最容易使任务停滞。</x:v>
      </x:c>
    </x:row>
    <x:row r="7" ht="24" customHeight="1">
      <x:c r="A7" s="275" t="str">
        <x:v>排查运行错误</x:v>
      </x:c>
      <x:c r="B7" s="219" t="n">
        <x:f>COUNTIF(tbl_core_metrics[Q10_展示分类],A7)</x:f>
        <x:v>0</x:v>
      </x:c>
      <x:c r="C7" s="219" t="n">
        <x:f>COUNTIF(tbl_core_metrics[include_in_main_analysis],1)</x:f>
        <x:v>20</x:v>
      </x:c>
      <x:c r="D7" s="220" t="n">
        <x:f>IFERROR(B7/C7,0)</x:f>
        <x:v>0</x:v>
      </x:c>
      <x:c r="E7" s="219" t="n">
        <x:f>RANK.EQ(B7,$B$2:$B$10,0)</x:f>
        <x:v>1</x:v>
      </x:c>
      <x:c r="F7" s="12" t="str">
        <x:f>A7&amp;"："&amp;B7&amp;"/"&amp;C7&amp;"（"&amp;TEXT(D7,"0.0%")&amp;"）"</x:f>
        <x:v>排查运行错误：0/20（0.0%）</x:v>
      </x:c>
      <x:c r="G7" s="12" t="str">
        <x:f>IF(B7=0,"本轮未覆盖",IF(B7&lt;=3,"小样本，仅作探索性描述",""))</x:f>
        <x:v>本轮未覆盖</x:v>
      </x:c>
    </x:row>
    <x:row r="8" ht="24" customHeight="1">
      <x:c r="A8" s="275" t="str">
        <x:v>计算指标并对齐结果</x:v>
      </x:c>
      <x:c r="B8" s="219" t="n">
        <x:f>COUNTIF(tbl_core_metrics[Q10_展示分类],A8)</x:f>
        <x:v>0</x:v>
      </x:c>
      <x:c r="C8" s="219" t="n">
        <x:f>COUNTIF(tbl_core_metrics[include_in_main_analysis],1)</x:f>
        <x:v>20</x:v>
      </x:c>
      <x:c r="D8" s="220" t="n">
        <x:f>IFERROR(B8/C8,0)</x:f>
        <x:v>0</x:v>
      </x:c>
      <x:c r="E8" s="219" t="n">
        <x:f>RANK.EQ(B8,$B$2:$B$10,0)</x:f>
        <x:v>1</x:v>
      </x:c>
      <x:c r="F8" s="12" t="str">
        <x:f>A8&amp;"："&amp;B8&amp;"/"&amp;C8&amp;"（"&amp;TEXT(D8,"0.0%")&amp;"）"</x:f>
        <x:v>计算指标并对齐结果：0/20（0.0%）</x:v>
      </x:c>
      <x:c r="G8" s="12" t="str">
        <x:f>IF(B8=0,"本轮未覆盖",IF(B8&lt;=3,"小样本，仅作探索性描述",""))</x:f>
        <x:v>本轮未覆盖</x:v>
      </x:c>
    </x:row>
    <x:row r="9" ht="24" customHeight="1">
      <x:c r="A9" s="275" t="str">
        <x:v>没有明显卡住的环节</x:v>
      </x:c>
      <x:c r="B9" s="219" t="n">
        <x:f>COUNTIF(tbl_core_metrics[Q10_展示分类],A9)</x:f>
        <x:v>0</x:v>
      </x:c>
      <x:c r="C9" s="219" t="n">
        <x:f>COUNTIF(tbl_core_metrics[include_in_main_analysis],1)</x:f>
        <x:v>20</x:v>
      </x:c>
      <x:c r="D9" s="220" t="n">
        <x:f>IFERROR(B9/C9,0)</x:f>
        <x:v>0</x:v>
      </x:c>
      <x:c r="E9" s="219" t="n">
        <x:f>RANK.EQ(B9,$B$2:$B$10,0)</x:f>
        <x:v>1</x:v>
      </x:c>
      <x:c r="F9" s="12" t="str">
        <x:f>A9&amp;"："&amp;B9&amp;"/"&amp;C9&amp;"（"&amp;TEXT(D9,"0.0%")&amp;"）"</x:f>
        <x:v>没有明显卡住的环节：0/20（0.0%）</x:v>
      </x:c>
      <x:c r="G9" s="12" t="str">
        <x:f>IF(B9=0,"本轮未覆盖",IF(B9&lt;=3,"小样本，仅作探索性描述",""))</x:f>
        <x:v>本轮未覆盖</x:v>
      </x:c>
    </x:row>
    <x:row r="10" ht="24" customHeight="1">
      <x:c r="A10" s="275" t="str">
        <x:v>其他</x:v>
      </x:c>
      <x:c r="B10" s="219" t="n">
        <x:f>COUNTIF(tbl_core_metrics[Q10_展示分类],A10)</x:f>
        <x:v>0</x:v>
      </x:c>
      <x:c r="C10" s="219" t="n">
        <x:f>COUNTIF(tbl_core_metrics[include_in_main_analysis],1)</x:f>
        <x:v>20</x:v>
      </x:c>
      <x:c r="D10" s="220" t="n">
        <x:f>IFERROR(B10/C10,0)</x:f>
        <x:v>0</x:v>
      </x:c>
      <x:c r="E10" s="219" t="n">
        <x:f>RANK.EQ(B10,$B$2:$B$10,0)</x:f>
        <x:v>1</x:v>
      </x:c>
      <x:c r="F10" s="12" t="str">
        <x:f>A10&amp;"："&amp;B10&amp;"/"&amp;C10&amp;"（"&amp;TEXT(D10,"0.0%")&amp;"）"</x:f>
        <x:v>其他：0/20（0.0%）</x:v>
      </x:c>
      <x:c r="G10" s="12" t="str">
        <x:f>IF(B10=0,"本轮未覆盖",IF(B10&lt;=3,"小样本，仅作探索性描述",""))</x:f>
        <x:v>本轮未覆盖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42" hidden="0" customWidth="1"/>
    <x:col min="7" max="7" width="27" hidden="0" customWidth="1"/>
    <x:col min="9" max="9" width="25" hidden="0" customWidth="1"/>
    <x:col min="10" max="10" width="58" hidden="0" customWidth="1"/>
  </x:cols>
  <x:sheetData>
    <x:row r="1" ht="32" customHeight="1">
      <x:c r="A1" s="364" t="str">
        <x:v>展示分类</x:v>
      </x:c>
      <x:c r="B1" s="364" t="str">
        <x:v>数量 n</x:v>
      </x:c>
      <x:c r="C1" s="364" t="str">
        <x:v>分母 N</x:v>
      </x:c>
      <x:c r="D1" s="364" t="str">
        <x:v>比例</x:v>
      </x:c>
      <x:c r="E1" s="364" t="str">
        <x:v>排名</x:v>
      </x:c>
      <x:c r="F1" s="364" t="str">
        <x:v>标准报告文本</x:v>
      </x:c>
      <x:c r="G1" s="364" t="str">
        <x:v>备注</x:v>
      </x:c>
      <x:c r="I1" s="366" t="str">
        <x:v>Q11统计说明</x:v>
      </x:c>
      <x:c r="J1" s="366" t="str">
        <x:v>内容</x:v>
      </x:c>
    </x:row>
    <x:row r="2" ht="32" customHeight="1">
      <x:c r="A2" s="365" t="str">
        <x:v>未遇到以下问题</x:v>
      </x:c>
      <x:c r="B2" s="219" t="n">
        <x:f>SUM(tbl_core_metrics[late_issue_none])</x:f>
        <x:v>1</x:v>
      </x:c>
      <x:c r="C2" s="219" t="n">
        <x:f>COUNTIF(tbl_core_metrics[include_in_main_analysis],1)</x:f>
        <x:v>20</x:v>
      </x:c>
      <x:c r="D2" s="220" t="n">
        <x:f>IFERROR(B2/C2,0)</x:f>
        <x:v>0.05</x:v>
      </x:c>
      <x:c r="E2" s="219" t="n">
        <x:f>RANK.EQ(B2,$B$2:$B$11,0)</x:f>
        <x:v>8</x:v>
      </x:c>
      <x:c r="F2" s="12" t="str">
        <x:f>A2&amp;"："&amp;B2&amp;"/"&amp;C2&amp;"（"&amp;TEXT(D2,"0.0%")&amp;"）"</x:f>
        <x:v>未遇到以下问题：1/20（5.0%）</x:v>
      </x:c>
      <x:c r="G2" s="12" t="str">
        <x:f>IF(B2=0,"本轮未覆盖",IF(B2&lt;=3,"小样本，仅作探索性描述",""))</x:f>
        <x:v>小样本，仅作探索性描述</x:v>
      </x:c>
      <x:c r="I2" s="370" t="str">
        <x:v>题型</x:v>
      </x:c>
      <x:c r="J2" s="370" t="str">
        <x:v>多选题</x:v>
      </x:c>
    </x:row>
    <x:row r="3" ht="32" customHeight="1">
      <x:c r="A3" s="365" t="str">
        <x:v>数据或访问权限</x:v>
      </x:c>
      <x:c r="B3" s="219" t="n">
        <x:f>SUM(tbl_core_metrics[late_issue_data_access])</x:f>
        <x:v>7</x:v>
      </x:c>
      <x:c r="C3" s="219" t="n">
        <x:f>COUNTIF(tbl_core_metrics[include_in_main_analysis],1)</x:f>
        <x:v>20</x:v>
      </x:c>
      <x:c r="D3" s="220" t="n">
        <x:f>IFERROR(B3/C3,0)</x:f>
        <x:v>0.35</x:v>
      </x:c>
      <x:c r="E3" s="219" t="n">
        <x:f>RANK.EQ(B3,$B$2:$B$11,0)</x:f>
        <x:v>5</x:v>
      </x:c>
      <x:c r="F3" s="12" t="str">
        <x:f>A3&amp;"："&amp;B3&amp;"/"&amp;C3&amp;"（"&amp;TEXT(D3,"0.0%")&amp;"）"</x:f>
        <x:v>数据或访问权限：7/20（35.0%）</x:v>
      </x:c>
      <x:c r="G3" s="12" t="str">
        <x:f>IF(B3=0,"本轮未覆盖",IF(B3&lt;=3,"小样本，仅作探索性描述",""))</x:f>
      </x:c>
      <x:c r="I3" s="370" t="str">
        <x:v>比例解释</x:v>
      </x:c>
      <x:c r="J3" s="370" t="str">
        <x:v>各类别均以 N=20 为分母；数量与比例不要求合计为20或100%</x:v>
      </x:c>
    </x:row>
    <x:row r="4" ht="32" customHeight="1">
      <x:c r="A4" s="365" t="str">
        <x:v>权重缺失或不兼容</x:v>
      </x:c>
      <x:c r="B4" s="219" t="n">
        <x:f>SUM(tbl_core_metrics[late_issue_weight_missing])</x:f>
        <x:v>8</x:v>
      </x:c>
      <x:c r="C4" s="219" t="n">
        <x:f>COUNTIF(tbl_core_metrics[include_in_main_analysis],1)</x:f>
        <x:v>20</x:v>
      </x:c>
      <x:c r="D4" s="220" t="n">
        <x:f>IFERROR(B4/C4,0)</x:f>
        <x:v>0.4</x:v>
      </x:c>
      <x:c r="E4" s="219" t="n">
        <x:f>RANK.EQ(B4,$B$2:$B$11,0)</x:f>
        <x:v>3</x:v>
      </x:c>
      <x:c r="F4" s="12" t="str">
        <x:f>A4&amp;"："&amp;B4&amp;"/"&amp;C4&amp;"（"&amp;TEXT(D4,"0.0%")&amp;"）"</x:f>
        <x:v>权重缺失或不兼容：8/20（40.0%）</x:v>
      </x:c>
      <x:c r="G4" s="12" t="str">
        <x:f>IF(B4=0,"本轮未覆盖",IF(B4&lt;=3,"小样本，仅作探索性描述",""))</x:f>
      </x:c>
      <x:c r="I4" s="370" t="str">
        <x:v>H1判断</x:v>
      </x:c>
      <x:c r="J4" s="370" t="str">
        <x:v>本表仅提供定量描述，暂不据此宣布 H1 通过</x:v>
      </x:c>
    </x:row>
    <x:row r="5" ht="27" customHeight="1">
      <x:c r="A5" s="365" t="str">
        <x:v>Python、CUDA 或框架不匹配</x:v>
      </x:c>
      <x:c r="B5" s="219" t="n">
        <x:f>SUM(tbl_core_metrics[late_issue_framework_mismatch])</x:f>
        <x:v>8</x:v>
      </x:c>
      <x:c r="C5" s="219" t="n">
        <x:f>COUNTIF(tbl_core_metrics[include_in_main_analysis],1)</x:f>
        <x:v>20</x:v>
      </x:c>
      <x:c r="D5" s="220" t="n">
        <x:f>IFERROR(B5/C5,0)</x:f>
        <x:v>0.4</x:v>
      </x:c>
      <x:c r="E5" s="219" t="n">
        <x:f>RANK.EQ(B5,$B$2:$B$11,0)</x:f>
        <x:v>3</x:v>
      </x:c>
      <x:c r="F5" s="12" t="str">
        <x:f>A5&amp;"："&amp;B5&amp;"/"&amp;C5&amp;"（"&amp;TEXT(D5,"0.0%")&amp;"）"</x:f>
        <x:v>Python、CUDA 或框架不匹配：8/20（40.0%）</x:v>
      </x:c>
      <x:c r="G5" s="12" t="str">
        <x:f>IF(B5=0,"本轮未覆盖",IF(B5&lt;=3,"小样本，仅作探索性描述",""))</x:f>
      </x:c>
    </x:row>
    <x:row r="6" ht="29" customHeight="1">
      <x:c r="A6" s="365" t="str">
        <x:v>依赖包版本冲突</x:v>
      </x:c>
      <x:c r="B6" s="219" t="n">
        <x:f>SUM(tbl_core_metrics[late_issue_dependency_conflict])</x:f>
        <x:v>11</x:v>
      </x:c>
      <x:c r="C6" s="219" t="n">
        <x:f>COUNTIF(tbl_core_metrics[include_in_main_analysis],1)</x:f>
        <x:v>20</x:v>
      </x:c>
      <x:c r="D6" s="220" t="n">
        <x:f>IFERROR(B6/C6,0)</x:f>
        <x:v>0.55</x:v>
      </x:c>
      <x:c r="E6" s="219" t="n">
        <x:f>RANK.EQ(B6,$B$2:$B$11,0)</x:f>
        <x:v>1</x:v>
      </x:c>
      <x:c r="F6" s="12" t="str">
        <x:f>A6&amp;"："&amp;B6&amp;"/"&amp;C6&amp;"（"&amp;TEXT(D6,"0.0%")&amp;"）"</x:f>
        <x:v>依赖包版本冲突：11/20（55.0%）</x:v>
      </x:c>
      <x:c r="G6" s="12" t="str">
        <x:f>IF(B6=0,"本轮未覆盖",IF(B6&lt;=3,"小样本，仅作探索性描述",""))</x:f>
      </x:c>
      <x:c r="I6" s="374" t="str">
        <x:v>H1问卷侧核心指标</x:v>
      </x:c>
      <x:c r="J6" s="374" t="str">
        <x:v>结果</x:v>
      </x:c>
    </x:row>
    <x:row r="7" ht="29" customHeight="1">
      <x:c r="A7" s="365" t="str">
        <x:v>资源不足</x:v>
      </x:c>
      <x:c r="B7" s="219" t="n">
        <x:f>SUM(tbl_core_metrics[late_issue_resource_insufficient])</x:f>
        <x:v>11</x:v>
      </x:c>
      <x:c r="C7" s="219" t="n">
        <x:f>COUNTIF(tbl_core_metrics[include_in_main_analysis],1)</x:f>
        <x:v>20</x:v>
      </x:c>
      <x:c r="D7" s="220" t="n">
        <x:f>IFERROR(B7/C7,0)</x:f>
        <x:v>0.55</x:v>
      </x:c>
      <x:c r="E7" s="219" t="n">
        <x:f>RANK.EQ(B7,$B$2:$B$11,0)</x:f>
        <x:v>1</x:v>
      </x:c>
      <x:c r="F7" s="12" t="str">
        <x:f>A7&amp;"："&amp;B7&amp;"/"&amp;C7&amp;"（"&amp;TEXT(D7,"0.0%")&amp;"）"</x:f>
        <x:v>资源不足：11/20（55.0%）</x:v>
      </x:c>
      <x:c r="G7" s="12" t="str">
        <x:f>IF(B7=0,"本轮未覆盖",IF(B7&lt;=3,"小样本，仅作探索性描述",""))</x:f>
      </x:c>
      <x:c r="I7" s="12" t="str">
        <x:v>至少遇到一项问题人数</x:v>
      </x:c>
      <x:c r="J7" s="377" t="n">
        <x:f>SUM(tbl_core_metrics[any_late_issue])</x:f>
        <x:v>19</x:v>
      </x:c>
    </x:row>
    <x:row r="8" ht="29" customHeight="1">
      <x:c r="A8" s="365" t="str">
        <x:v>命令、配置或路径说明缺失</x:v>
      </x:c>
      <x:c r="B8" s="219" t="n">
        <x:f>SUM(tbl_core_metrics[late_issue_command_config_path_missing])</x:f>
        <x:v>5</x:v>
      </x:c>
      <x:c r="C8" s="219" t="n">
        <x:f>COUNTIF(tbl_core_metrics[include_in_main_analysis],1)</x:f>
        <x:v>20</x:v>
      </x:c>
      <x:c r="D8" s="220" t="n">
        <x:f>IFERROR(B8/C8,0)</x:f>
        <x:v>0.25</x:v>
      </x:c>
      <x:c r="E8" s="219" t="n">
        <x:f>RANK.EQ(B8,$B$2:$B$11,0)</x:f>
        <x:v>6</x:v>
      </x:c>
      <x:c r="F8" s="12" t="str">
        <x:f>A8&amp;"："&amp;B8&amp;"/"&amp;C8&amp;"（"&amp;TEXT(D8,"0.0%")&amp;"）"</x:f>
        <x:v>命令、配置或路径说明缺失：5/20（25.0%）</x:v>
      </x:c>
      <x:c r="G8" s="12" t="str">
        <x:f>IF(B8=0,"本轮未覆盖",IF(B8&lt;=3,"小样本，仅作探索性描述",""))</x:f>
      </x:c>
      <x:c r="I8" s="12" t="str">
        <x:v>至少遇到一项问题比例</x:v>
      </x:c>
      <x:c r="J8" s="378" t="n">
        <x:f>IFERROR(J7/COUNTIF(tbl_core_metrics[include_in_main_analysis],1),0)</x:f>
        <x:v>0.95</x:v>
      </x:c>
    </x:row>
    <x:row r="9" ht="29" customHeight="1">
      <x:c r="A9" s="365" t="str">
        <x:v>评测口径不清</x:v>
      </x:c>
      <x:c r="B9" s="219" t="n">
        <x:f>SUM(tbl_core_metrics[late_issue_evaluation_scope_unclear])</x:f>
        <x:v>4</x:v>
      </x:c>
      <x:c r="C9" s="219" t="n">
        <x:f>COUNTIF(tbl_core_metrics[include_in_main_analysis],1)</x:f>
        <x:v>20</x:v>
      </x:c>
      <x:c r="D9" s="220" t="n">
        <x:f>IFERROR(B9/C9,0)</x:f>
        <x:v>0.2</x:v>
      </x:c>
      <x:c r="E9" s="219" t="n">
        <x:f>RANK.EQ(B9,$B$2:$B$11,0)</x:f>
        <x:v>7</x:v>
      </x:c>
      <x:c r="F9" s="12" t="str">
        <x:f>A9&amp;"："&amp;B9&amp;"/"&amp;C9&amp;"（"&amp;TEXT(D9,"0.0%")&amp;"）"</x:f>
        <x:v>评测口径不清：4/20（20.0%）</x:v>
      </x:c>
      <x:c r="G9" s="12" t="str">
        <x:f>IF(B9=0,"本轮未覆盖",IF(B9&lt;=3,"小样本，仅作探索性描述",""))</x:f>
      </x:c>
      <x:c r="I9" s="12" t="str">
        <x:v>未遇到问题人数</x:v>
      </x:c>
      <x:c r="J9" s="377" t="n">
        <x:f>SUM(tbl_core_metrics[late_issue_none])</x:f>
        <x:v>1</x:v>
      </x:c>
    </x:row>
    <x:row r="10" ht="29" customHeight="1">
      <x:c r="A10" s="365" t="str">
        <x:v>许可证限制</x:v>
      </x:c>
      <x:c r="B10" s="219" t="n">
        <x:f>SUM(tbl_core_metrics[late_issue_license_restriction])</x:f>
        <x:v>0</x:v>
      </x:c>
      <x:c r="C10" s="219" t="n">
        <x:f>COUNTIF(tbl_core_metrics[include_in_main_analysis],1)</x:f>
        <x:v>20</x:v>
      </x:c>
      <x:c r="D10" s="220" t="n">
        <x:f>IFERROR(B10/C10,0)</x:f>
        <x:v>0</x:v>
      </x:c>
      <x:c r="E10" s="219" t="n">
        <x:f>RANK.EQ(B10,$B$2:$B$11,0)</x:f>
        <x:v>9</x:v>
      </x:c>
      <x:c r="F10" s="12" t="str">
        <x:f>A10&amp;"："&amp;B10&amp;"/"&amp;C10&amp;"（"&amp;TEXT(D10,"0.0%")&amp;"）"</x:f>
        <x:v>许可证限制：0/20（0.0%）</x:v>
      </x:c>
      <x:c r="G10" s="12" t="str">
        <x:f>IF(B10=0,"本轮未覆盖",IF(B10&lt;=3,"小样本，仅作探索性描述",""))</x:f>
        <x:v>本轮未覆盖</x:v>
      </x:c>
      <x:c r="I10" s="12" t="str">
        <x:v>人数完整性合计</x:v>
      </x:c>
      <x:c r="J10" s="377" t="n">
        <x:f>J7+J9</x:f>
        <x:v>20</x:v>
      </x:c>
    </x:row>
    <x:row r="11" ht="29" customHeight="1">
      <x:c r="A11" s="365" t="str">
        <x:v>其他</x:v>
      </x:c>
      <x:c r="B11" s="219" t="n">
        <x:f>SUM(tbl_core_metrics[late_issue_other_flag])</x:f>
        <x:v>0</x:v>
      </x:c>
      <x:c r="C11" s="219" t="n">
        <x:f>COUNTIF(tbl_core_metrics[include_in_main_analysis],1)</x:f>
        <x:v>20</x:v>
      </x:c>
      <x:c r="D11" s="220" t="n">
        <x:f>IFERROR(B11/C11,0)</x:f>
        <x:v>0</x:v>
      </x:c>
      <x:c r="E11" s="219" t="n">
        <x:f>RANK.EQ(B11,$B$2:$B$11,0)</x:f>
        <x:v>9</x:v>
      </x:c>
      <x:c r="F11" s="12" t="str">
        <x:f>A11&amp;"："&amp;B11&amp;"/"&amp;C11&amp;"（"&amp;TEXT(D11,"0.0%")&amp;"）"</x:f>
        <x:v>其他：0/20（0.0%）</x:v>
      </x:c>
      <x:c r="G11" s="12" t="str">
        <x:f>IF(B11=0,"本轮未覆盖",IF(B11&lt;=3,"小样本，仅作探索性描述",""))</x:f>
        <x:v>本轮未覆盖</x:v>
      </x:c>
      <x:c r="I11" s="12" t="str">
        <x:v>问题选择总次数</x:v>
      </x:c>
      <x:c r="J11" s="377" t="n">
        <x:f>SUM(tbl_core_metrics[late_issue_count])</x:f>
        <x:v>54</x:v>
      </x:c>
    </x:row>
    <x:row r="12" ht="54" customHeight="1">
      <x:c r="I12" s="12" t="str">
        <x:v>解释说明</x:v>
      </x:c>
      <x:c r="J12" s="379" t="str">
        <x:v>问题选择总次数反映20名样本共报告的问题类别次数，不是用户人数；本区仅提供问卷侧证据，不作H1最终判定。</x:v>
      </x:c>
    </x:row>
    <x:row r="14" ht="30" customHeight="1">
      <x:c r="I14" s="383" t="str">
        <x:v>Q11结论</x:v>
      </x:c>
      <x:c r="J14" s="383" t="str">
        <x:v>问卷侧初步支持</x:v>
      </x:c>
    </x:row>
    <x:row r="15" ht="34" customHeight="1">
      <x:c r="I15" s="388" t="str">
        <x:v>在有效样本 N=20 中，19/20（95.0%）报告至少遇到一项投入后才发现、但本可在正式运行前核验的问题，达到 H1 的问卷侧预设门槛。高频类别为关键依赖包版本冲突和资源不足，均为 11/20（55.0%）。该结果暂构成问卷侧初步支持，仍需结合开放回答和公开案例验证具体发生过程及可提前发现性。</x:v>
      </x:c>
      <x:c r="J15" s="388"/>
    </x:row>
    <x:row r="16" ht="34" customHeight="1">
      <x:c r="I16" s="388"/>
      <x:c r="J16" s="388"/>
    </x:row>
    <x:row r="17" ht="34" customHeight="1">
      <x:c r="I17" s="388"/>
      <x:c r="J17" s="388"/>
    </x:row>
  </x:sheetData>
  <x:mergeCells>
    <x:mergeCell ref="I15:J17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42" hidden="0" customWidth="1"/>
    <x:col min="7" max="7" width="30" hidden="0" customWidth="1"/>
    <x:col min="9" max="9" width="27" hidden="0" customWidth="1"/>
    <x:col min="10" max="10" width="48" hidden="0" customWidth="1"/>
  </x:cols>
  <x:sheetData>
    <x:row r="1" ht="34" customHeight="1">
      <x:c r="A1" s="465" t="str">
        <x:v>展示分类</x:v>
      </x:c>
      <x:c r="B1" s="465" t="str">
        <x:v>数量 n</x:v>
      </x:c>
      <x:c r="C1" s="465" t="str">
        <x:v>分母 N</x:v>
      </x:c>
      <x:c r="D1" s="465" t="str">
        <x:v>比例</x:v>
      </x:c>
      <x:c r="E1" s="465" t="str">
        <x:v>排名</x:v>
      </x:c>
      <x:c r="F1" s="465" t="str">
        <x:v>标准报告文本</x:v>
      </x:c>
      <x:c r="G1" s="465" t="str">
        <x:v>备注</x:v>
      </x:c>
      <x:c r="I1" s="470" t="str">
        <x:v>Q12汇总说明</x:v>
      </x:c>
      <x:c r="J1" s="470" t="str">
        <x:v>结果</x:v>
      </x:c>
    </x:row>
    <x:row r="2" ht="32" customHeight="1">
      <x:c r="A2" s="466" t="str">
        <x:v>搜索引擎</x:v>
      </x:c>
      <x:c r="B2" s="467" t="n">
        <x:f>SUM(tbl_core_metrics[method_search_engine])</x:f>
        <x:v>7</x:v>
      </x:c>
      <x:c r="C2" s="467" t="n">
        <x:f>COUNTIF(tbl_core_metrics[include_in_main_analysis],1)</x:f>
        <x:v>20</x:v>
      </x:c>
      <x:c r="D2" s="468" t="n">
        <x:f>IFERROR(B2/C2,0)</x:f>
        <x:v>0.35</x:v>
      </x:c>
      <x:c r="E2" s="467" t="n">
        <x:f>RANK.EQ(B2,$B$2:$B$9,0)</x:f>
        <x:v>3</x:v>
      </x:c>
      <x:c r="F2" s="469" t="str">
        <x:f>A2&amp;"："&amp;B2&amp;"/"&amp;C2&amp;"（"&amp;TEXT(D2,"0.0%")&amp;"）"</x:f>
        <x:v>搜索引擎：7/20（35.0%）</x:v>
      </x:c>
      <x:c r="G2" s="469" t="str">
        <x:f>IF(B2=0,"本轮未覆盖",IF(B2&lt;=3,"小样本，仅作探索性描述",""))</x:f>
      </x:c>
      <x:c r="I2" s="471" t="str">
        <x:v>题型</x:v>
      </x:c>
      <x:c r="J2" s="472" t="str">
        <x:v>多选题</x:v>
      </x:c>
    </x:row>
    <x:row r="3" ht="32" customHeight="1">
      <x:c r="A3" s="466" t="str">
        <x:v>通用大模型或 AI 助手</x:v>
      </x:c>
      <x:c r="B3" s="467" t="n">
        <x:f>SUM(tbl_core_metrics[method_ai_assistant])</x:f>
        <x:v>18</x:v>
      </x:c>
      <x:c r="C3" s="467" t="n">
        <x:f>COUNTIF(tbl_core_metrics[include_in_main_analysis],1)</x:f>
        <x:v>20</x:v>
      </x:c>
      <x:c r="D3" s="468" t="n">
        <x:f>IFERROR(B3/C3,0)</x:f>
        <x:v>0.9</x:v>
      </x:c>
      <x:c r="E3" s="467" t="n">
        <x:f>RANK.EQ(B3,$B$2:$B$9,0)</x:f>
        <x:v>1</x:v>
      </x:c>
      <x:c r="F3" s="469" t="str">
        <x:f>A3&amp;"："&amp;B3&amp;"/"&amp;C3&amp;"（"&amp;TEXT(D3,"0.0%")&amp;"）"</x:f>
        <x:v>通用大模型或 AI 助手：18/20（90.0%）</x:v>
      </x:c>
      <x:c r="G3" s="469" t="str">
        <x:f>IF(B3=0,"本轮未覆盖",IF(B3&lt;=3,"小样本，仅作探索性描述",""))</x:f>
      </x:c>
      <x:c r="I3" s="471" t="str">
        <x:v>验收规则</x:v>
      </x:c>
      <x:c r="J3" s="472" t="str">
        <x:v>各类别以N=20为分母；数量与比例不要求合计</x:v>
      </x:c>
    </x:row>
    <x:row r="4" ht="32" customHeight="1">
      <x:c r="A4" s="466" t="str">
        <x:v>GitHub Issue/Discussion</x:v>
      </x:c>
      <x:c r="B4" s="467" t="n">
        <x:f>SUM(tbl_core_metrics[method_github])</x:f>
        <x:v>7</x:v>
      </x:c>
      <x:c r="C4" s="467" t="n">
        <x:f>COUNTIF(tbl_core_metrics[include_in_main_analysis],1)</x:f>
        <x:v>20</x:v>
      </x:c>
      <x:c r="D4" s="468" t="n">
        <x:f>IFERROR(B4/C4,0)</x:f>
        <x:v>0.35</x:v>
      </x:c>
      <x:c r="E4" s="467" t="n">
        <x:f>RANK.EQ(B4,$B$2:$B$9,0)</x:f>
        <x:v>3</x:v>
      </x:c>
      <x:c r="F4" s="469" t="str">
        <x:f>A4&amp;"："&amp;B4&amp;"/"&amp;C4&amp;"（"&amp;TEXT(D4,"0.0%")&amp;"）"</x:f>
        <x:v>GitHub Issue/Discussion：7/20（35.0%）</x:v>
      </x:c>
      <x:c r="G4" s="469" t="str">
        <x:f>IF(B4=0,"本轮未覆盖",IF(B4&lt;=3,"小样本，仅作探索性描述",""))</x:f>
      </x:c>
      <x:c r="I4" s="471" t="str">
        <x:v>其他说明</x:v>
      </x:c>
      <x:c r="J4" s="472" t="str">
        <x:v>无</x:v>
      </x:c>
    </x:row>
    <x:row r="5" ht="32" customHeight="1">
      <x:c r="A5" s="466" t="str">
        <x:v>阅读 README、文档或源码</x:v>
      </x:c>
      <x:c r="B5" s="467" t="n">
        <x:f>SUM(tbl_core_metrics[method_docs_source])</x:f>
        <x:v>9</x:v>
      </x:c>
      <x:c r="C5" s="467" t="n">
        <x:f>COUNTIF(tbl_core_metrics[include_in_main_analysis],1)</x:f>
        <x:v>20</x:v>
      </x:c>
      <x:c r="D5" s="468" t="n">
        <x:f>IFERROR(B5/C5,0)</x:f>
        <x:v>0.45</x:v>
      </x:c>
      <x:c r="E5" s="467" t="n">
        <x:f>RANK.EQ(B5,$B$2:$B$9,0)</x:f>
        <x:v>2</x:v>
      </x:c>
      <x:c r="F5" s="469" t="str">
        <x:f>A5&amp;"："&amp;B5&amp;"/"&amp;C5&amp;"（"&amp;TEXT(D5,"0.0%")&amp;"）"</x:f>
        <x:v>阅读 README、文档或源码：9/20（45.0%）</x:v>
      </x:c>
      <x:c r="G5" s="469" t="str">
        <x:f>IF(B5=0,"本轮未覆盖",IF(B5&lt;=3,"小样本，仅作探索性描述",""))</x:f>
      </x:c>
    </x:row>
    <x:row r="6" ht="32" customHeight="1">
      <x:c r="A6" s="466" t="str">
        <x:v>复现博客、教程或视频</x:v>
      </x:c>
      <x:c r="B6" s="467" t="n">
        <x:f>SUM(tbl_core_metrics[method_blog_tutorial_video])</x:f>
        <x:v>2</x:v>
      </x:c>
      <x:c r="C6" s="467" t="n">
        <x:f>COUNTIF(tbl_core_metrics[include_in_main_analysis],1)</x:f>
        <x:v>20</x:v>
      </x:c>
      <x:c r="D6" s="468" t="n">
        <x:f>IFERROR(B6/C6,0)</x:f>
        <x:v>0.1</x:v>
      </x:c>
      <x:c r="E6" s="467" t="n">
        <x:f>RANK.EQ(B6,$B$2:$B$9,0)</x:f>
        <x:v>6</x:v>
      </x:c>
      <x:c r="F6" s="469" t="str">
        <x:f>A6&amp;"："&amp;B6&amp;"/"&amp;C6&amp;"（"&amp;TEXT(D6,"0.0%")&amp;"）"</x:f>
        <x:v>复现博客、教程或视频：2/20（10.0%）</x:v>
      </x:c>
      <x:c r="G6" s="469" t="str">
        <x:f>IF(B6=0,"本轮未覆盖",IF(B6&lt;=3,"小样本，仅作探索性描述",""))</x:f>
        <x:v>小样本，仅作探索性描述</x:v>
      </x:c>
      <x:c r="I6" s="483" t="str">
        <x:v>整体使用情况</x:v>
      </x:c>
      <x:c r="J6" s="483" t="str">
        <x:v>结果</x:v>
      </x:c>
    </x:row>
    <x:row r="7" ht="32" customHeight="1">
      <x:c r="A7" s="466" t="str">
        <x:v>询问同学、同事或导师</x:v>
      </x:c>
      <x:c r="B7" s="467" t="n">
        <x:f>SUM(tbl_core_metrics[method_peer_mentor])</x:f>
        <x:v>4</x:v>
      </x:c>
      <x:c r="C7" s="467" t="n">
        <x:f>COUNTIF(tbl_core_metrics[include_in_main_analysis],1)</x:f>
        <x:v>20</x:v>
      </x:c>
      <x:c r="D7" s="468" t="n">
        <x:f>IFERROR(B7/C7,0)</x:f>
        <x:v>0.2</x:v>
      </x:c>
      <x:c r="E7" s="467" t="n">
        <x:f>RANK.EQ(B7,$B$2:$B$9,0)</x:f>
        <x:v>5</x:v>
      </x:c>
      <x:c r="F7" s="469" t="str">
        <x:f>A7&amp;"："&amp;B7&amp;"/"&amp;C7&amp;"（"&amp;TEXT(D7,"0.0%")&amp;"）"</x:f>
        <x:v>询问同学、同事或导师：4/20（20.0%）</x:v>
      </x:c>
      <x:c r="G7" s="469" t="str">
        <x:f>IF(B7=0,"本轮未覆盖",IF(B7&lt;=3,"小样本，仅作探索性描述",""))</x:f>
      </x:c>
      <x:c r="I7" s="484" t="str">
        <x:v>至少使用一种方式的人数</x:v>
      </x:c>
      <x:c r="J7" s="485" t="n">
        <x:f>SUM(tbl_core_metrics[any_method_used])</x:f>
        <x:v>20</x:v>
      </x:c>
    </x:row>
    <x:row r="8" ht="32" customHeight="1">
      <x:c r="A8" s="466" t="str">
        <x:v>没有使用以上方式</x:v>
      </x:c>
      <x:c r="B8" s="467" t="n">
        <x:f>SUM(tbl_core_metrics[method_none])</x:f>
        <x:v>0</x:v>
      </x:c>
      <x:c r="C8" s="467" t="n">
        <x:f>COUNTIF(tbl_core_metrics[include_in_main_analysis],1)</x:f>
        <x:v>20</x:v>
      </x:c>
      <x:c r="D8" s="468" t="n">
        <x:f>IFERROR(B8/C8,0)</x:f>
        <x:v>0</x:v>
      </x:c>
      <x:c r="E8" s="467" t="n">
        <x:f>RANK.EQ(B8,$B$2:$B$9,0)</x:f>
        <x:v>7</x:v>
      </x:c>
      <x:c r="F8" s="469" t="str">
        <x:f>A8&amp;"："&amp;B8&amp;"/"&amp;C8&amp;"（"&amp;TEXT(D8,"0.0%")&amp;"）"</x:f>
        <x:v>没有使用以上方式：0/20（0.0%）</x:v>
      </x:c>
      <x:c r="G8" s="469" t="str">
        <x:f>IF(B8=0,"本轮未覆盖",IF(B8&lt;=3,"小样本，仅作探索性描述",""))</x:f>
        <x:v>本轮未覆盖</x:v>
      </x:c>
      <x:c r="I8" s="484" t="str">
        <x:v>没有使用任何方式的人数</x:v>
      </x:c>
      <x:c r="J8" s="485" t="n">
        <x:f>SUM(tbl_core_metrics[method_none])</x:f>
        <x:v>0</x:v>
      </x:c>
    </x:row>
    <x:row r="9" ht="32" customHeight="1">
      <x:c r="A9" s="466" t="str">
        <x:v>其他</x:v>
      </x:c>
      <x:c r="B9" s="467" t="n">
        <x:f>SUM(tbl_core_metrics[method_other_flag])</x:f>
        <x:v>0</x:v>
      </x:c>
      <x:c r="C9" s="467" t="n">
        <x:f>COUNTIF(tbl_core_metrics[include_in_main_analysis],1)</x:f>
        <x:v>20</x:v>
      </x:c>
      <x:c r="D9" s="468" t="n">
        <x:f>IFERROR(B9/C9,0)</x:f>
        <x:v>0</x:v>
      </x:c>
      <x:c r="E9" s="467" t="n">
        <x:f>RANK.EQ(B9,$B$2:$B$9,0)</x:f>
        <x:v>7</x:v>
      </x:c>
      <x:c r="F9" s="469" t="str">
        <x:f>A9&amp;"："&amp;B9&amp;"/"&amp;C9&amp;"（"&amp;TEXT(D9,"0.0%")&amp;"）"</x:f>
        <x:v>其他：0/20（0.0%）</x:v>
      </x:c>
      <x:c r="G9" s="469" t="str">
        <x:f>IF(B9=0,"本轮未覆盖",IF(B9&lt;=3,"小样本，仅作探索性描述",""))</x:f>
        <x:v>本轮未覆盖</x:v>
      </x:c>
      <x:c r="I9" s="484" t="str">
        <x:v>两类人数合计</x:v>
      </x:c>
      <x:c r="J9" s="485" t="n">
        <x:f>SUM(tbl_core_metrics[any_method_used])+SUM(tbl_core_metrics[method_none])</x:f>
        <x:v>20</x:v>
      </x:c>
    </x:row>
    <x:row r="10">
      <x:c r="I10" s="484" t="str">
        <x:v>实际方式选择总次数</x:v>
      </x:c>
      <x:c r="J10" s="485" t="n">
        <x:f>SUM(tbl_core_metrics[Q12_method_count])</x:f>
        <x:v>47</x:v>
      </x:c>
    </x:row>
    <x:row r="11">
      <x:c r="I11" s="484" t="str">
        <x:v>口径说明</x:v>
      </x:c>
      <x:c r="J11" s="486" t="str">
        <x:v>选择总次数是使用行为次数，不是人数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2" hidden="0" customWidth="1"/>
    <x:col min="3" max="3" width="34" hidden="0" customWidth="1"/>
    <x:col min="4" max="4" width="12" hidden="0" customWidth="1"/>
    <x:col min="5" max="5" width="12" hidden="0" customWidth="1"/>
    <x:col min="6" max="6" width="35" hidden="0" customWidth="1"/>
    <x:col min="7" max="7" width="24" hidden="0" customWidth="1"/>
  </x:cols>
  <x:sheetData>
    <x:row r="1" ht="30" customHeight="1">
      <x:c r="A1" s="533" t="str">
        <x:v>展示分类</x:v>
      </x:c>
      <x:c r="B1" s="533" t="str">
        <x:v>数量 n</x:v>
      </x:c>
      <x:c r="C1" s="533" t="str">
        <x:v>分母 N</x:v>
      </x:c>
      <x:c r="D1" s="533" t="str">
        <x:v>比例</x:v>
      </x:c>
      <x:c r="E1" s="533" t="str">
        <x:v>排名</x:v>
      </x:c>
      <x:c r="F1" s="533" t="str">
        <x:v>标准报告文本</x:v>
      </x:c>
      <x:c r="G1" s="533" t="str">
        <x:v>备注</x:v>
      </x:c>
    </x:row>
    <x:row r="2">
      <x:c r="A2" s="534" t="str">
        <x:v>没有明显不足</x:v>
      </x:c>
      <x:c r="B2" s="535" t="n">
        <x:f>SUM(tbl_core_metrics[shortcoming_none])</x:f>
        <x:v>2</x:v>
      </x:c>
      <x:c r="C2" s="535" t="n">
        <x:f>COUNTIF(tbl_core_metrics[include_in_main_analysis],1)</x:f>
        <x:v>20</x:v>
      </x:c>
      <x:c r="D2" s="536" t="n">
        <x:f>IFERROR(B2/C2,0)</x:f>
        <x:v>0.1</x:v>
      </x:c>
      <x:c r="E2" s="535" t="str">
        <x:f>"不参与不足排名"</x:f>
        <x:v>不参与不足排名</x:v>
      </x:c>
      <x:c r="F2" s="534" t="str">
        <x:f>A2&amp;"："&amp;B2&amp;"/"&amp;C2&amp;"（"&amp;TEXT(D2,"0.0%")&amp;"）"</x:f>
        <x:v>没有明显不足：2/20（10.0%）</x:v>
      </x:c>
      <x:c r="G2" s="534" t="str">
        <x:f>IF(B2=0,"本轮未覆盖",IF(B2&lt;=3,"小样本，仅作探索性描述",""))</x:f>
        <x:v>小样本，仅作探索性描述</x:v>
      </x:c>
    </x:row>
    <x:row r="3">
      <x:c r="A3" s="534" t="str">
        <x:v>信息分散，需要反复查找和拼接</x:v>
      </x:c>
      <x:c r="B3" s="535" t="n">
        <x:f>SUM(tbl_core_metrics[shortcoming_information_fragmented])</x:f>
        <x:v>12</x:v>
      </x:c>
      <x:c r="C3" s="535" t="n">
        <x:f>COUNTIF(tbl_core_metrics[include_in_main_analysis],1)</x:f>
        <x:v>20</x:v>
      </x:c>
      <x:c r="D3" s="536" t="n">
        <x:f>IFERROR(B3/C3,0)</x:f>
        <x:v>0.6</x:v>
      </x:c>
      <x:c r="E3" s="535" t="n">
        <x:f>RANK.EQ(B3,$B$3:$B$11,0)</x:f>
        <x:v>1</x:v>
      </x:c>
      <x:c r="F3" s="534" t="str">
        <x:f>A3&amp;"："&amp;B3&amp;"/"&amp;C3&amp;"（"&amp;TEXT(D3,"0.0%")&amp;"）"</x:f>
        <x:v>信息分散，需要反复查找和拼接：12/20（60.0%）</x:v>
      </x:c>
      <x:c r="G3" s="534" t="str">
        <x:f>IF(B3=0,"本轮未覆盖",IF(B3&lt;=3,"小样本，仅作探索性描述",""))</x:f>
      </x:c>
    </x:row>
    <x:row r="4">
      <x:c r="A4" s="534" t="str">
        <x:v>结论缺少来源或证据，难以判断是否可信</x:v>
      </x:c>
      <x:c r="B4" s="535" t="n">
        <x:f>SUM(tbl_core_metrics[shortcoming_no_sources])</x:f>
        <x:v>10</x:v>
      </x:c>
      <x:c r="C4" s="535" t="n">
        <x:f>COUNTIF(tbl_core_metrics[include_in_main_analysis],1)</x:f>
        <x:v>20</x:v>
      </x:c>
      <x:c r="D4" s="536" t="n">
        <x:f>IFERROR(B4/C4,0)</x:f>
        <x:v>0.5</x:v>
      </x:c>
      <x:c r="E4" s="535" t="n">
        <x:f>RANK.EQ(B4,$B$3:$B$11,0)</x:f>
        <x:v>2</x:v>
      </x:c>
      <x:c r="F4" s="534" t="str">
        <x:f>A4&amp;"："&amp;B4&amp;"/"&amp;C4&amp;"（"&amp;TEXT(D4,"0.0%")&amp;"）"</x:f>
        <x:v>结论缺少来源或证据，难以判断是否可信：10/20（50.0%）</x:v>
      </x:c>
      <x:c r="G4" s="534" t="str">
        <x:f>IF(B4=0,"本轮未覆盖",IF(B4&lt;=3,"小样本，仅作探索性描述",""))</x:f>
      </x:c>
    </x:row>
    <x:row r="5">
      <x:c r="A5" s="534" t="str">
        <x:v>建议过于泛化，无法直接用于当前项目</x:v>
      </x:c>
      <x:c r="B5" s="535" t="n">
        <x:f>SUM(tbl_core_metrics[shortcoming_generic_advice])</x:f>
        <x:v>7</x:v>
      </x:c>
      <x:c r="C5" s="535" t="n">
        <x:f>COUNTIF(tbl_core_metrics[include_in_main_analysis],1)</x:f>
        <x:v>20</x:v>
      </x:c>
      <x:c r="D5" s="536" t="n">
        <x:f>IFERROR(B5/C5,0)</x:f>
        <x:v>0.35</x:v>
      </x:c>
      <x:c r="E5" s="535" t="n">
        <x:f>RANK.EQ(B5,$B$3:$B$11,0)</x:f>
        <x:v>3</x:v>
      </x:c>
      <x:c r="F5" s="534" t="str">
        <x:f>A5&amp;"："&amp;B5&amp;"/"&amp;C5&amp;"（"&amp;TEXT(D5,"0.0%")&amp;"）"</x:f>
        <x:v>建议过于泛化，无法直接用于当前项目：7/20（35.0%）</x:v>
      </x:c>
      <x:c r="G5" s="534" t="str">
        <x:f>IF(B5=0,"本轮未覆盖",IF(B5&lt;=3,"小样本，仅作探索性描述",""))</x:f>
      </x:c>
    </x:row>
    <x:row r="6">
      <x:c r="A6" s="534" t="str">
        <x:v>不了解我的硬件、系统或软件环境</x:v>
      </x:c>
      <x:c r="B6" s="535" t="n">
        <x:f>SUM(tbl_core_metrics[shortcoming_no_environment_context])</x:f>
        <x:v>4</x:v>
      </x:c>
      <x:c r="C6" s="535" t="n">
        <x:f>COUNTIF(tbl_core_metrics[include_in_main_analysis],1)</x:f>
        <x:v>20</x:v>
      </x:c>
      <x:c r="D6" s="536" t="n">
        <x:f>IFERROR(B6/C6,0)</x:f>
        <x:v>0.2</x:v>
      </x:c>
      <x:c r="E6" s="535" t="n">
        <x:f>RANK.EQ(B6,$B$3:$B$11,0)</x:f>
        <x:v>4</x:v>
      </x:c>
      <x:c r="F6" s="534" t="str">
        <x:f>A6&amp;"："&amp;B6&amp;"/"&amp;C6&amp;"（"&amp;TEXT(D6,"0.0%")&amp;"）"</x:f>
        <x:v>不了解我的硬件、系统或软件环境：4/20（20.0%）</x:v>
      </x:c>
      <x:c r="G6" s="534" t="str">
        <x:f>IF(B6=0,"本轮未覆盖",IF(B6&lt;=3,"小样本，仅作探索性描述",""))</x:f>
      </x:c>
    </x:row>
    <x:row r="7">
      <x:c r="A7" s="534" t="str">
        <x:v>没有说明操作步骤的先后顺序</x:v>
      </x:c>
      <x:c r="B7" s="535" t="n">
        <x:f>SUM(tbl_core_metrics[shortcoming_no_step_order])</x:f>
        <x:v>2</x:v>
      </x:c>
      <x:c r="C7" s="535" t="n">
        <x:f>COUNTIF(tbl_core_metrics[include_in_main_analysis],1)</x:f>
        <x:v>20</x:v>
      </x:c>
      <x:c r="D7" s="536" t="n">
        <x:f>IFERROR(B7/C7,0)</x:f>
        <x:v>0.1</x:v>
      </x:c>
      <x:c r="E7" s="535" t="n">
        <x:f>RANK.EQ(B7,$B$3:$B$11,0)</x:f>
        <x:v>5</x:v>
      </x:c>
      <x:c r="F7" s="534" t="str">
        <x:f>A7&amp;"："&amp;B7&amp;"/"&amp;C7&amp;"（"&amp;TEXT(D7,"0.0%")&amp;"）"</x:f>
        <x:v>没有说明操作步骤的先后顺序：2/20（10.0%）</x:v>
      </x:c>
      <x:c r="G7" s="534" t="str">
        <x:f>IF(B7=0,"本轮未覆盖",IF(B7&lt;=3,"小样本，仅作探索性描述",""))</x:f>
        <x:v>小样本，仅作探索性描述</x:v>
      </x:c>
    </x:row>
    <x:row r="8">
      <x:c r="A8" s="534" t="str">
        <x:v>对覆盖文件、删除文件等高风险操作缺少提醒</x:v>
      </x:c>
      <x:c r="B8" s="535" t="n">
        <x:f>SUM(tbl_core_metrics[shortcoming_no_risk_warning])</x:f>
        <x:v>1</x:v>
      </x:c>
      <x:c r="C8" s="535" t="n">
        <x:f>COUNTIF(tbl_core_metrics[include_in_main_analysis],1)</x:f>
        <x:v>20</x:v>
      </x:c>
      <x:c r="D8" s="536" t="n">
        <x:f>IFERROR(B8/C8,0)</x:f>
        <x:v>0.05</x:v>
      </x:c>
      <x:c r="E8" s="535" t="n">
        <x:f>RANK.EQ(B8,$B$3:$B$11,0)</x:f>
        <x:v>8</x:v>
      </x:c>
      <x:c r="F8" s="534" t="str">
        <x:f>A8&amp;"："&amp;B8&amp;"/"&amp;C8&amp;"（"&amp;TEXT(D8,"0.0%")&amp;"）"</x:f>
        <x:v>对覆盖文件、删除文件等高风险操作缺少提醒：1/20（5.0%）</x:v>
      </x:c>
      <x:c r="G8" s="534" t="str">
        <x:f>IF(B8=0,"本轮未覆盖",IF(B8&lt;=3,"小样本，仅作探索性描述",""))</x:f>
        <x:v>小样本，仅作探索性描述</x:v>
      </x:c>
    </x:row>
    <x:row r="9">
      <x:c r="A9" s="534" t="str">
        <x:v>难以保存和延续此前的排错上下文</x:v>
      </x:c>
      <x:c r="B9" s="535" t="n">
        <x:f>SUM(tbl_core_metrics[shortcoming_no_context_continuity])</x:f>
        <x:v>2</x:v>
      </x:c>
      <x:c r="C9" s="535" t="n">
        <x:f>COUNTIF(tbl_core_metrics[include_in_main_analysis],1)</x:f>
        <x:v>20</x:v>
      </x:c>
      <x:c r="D9" s="536" t="n">
        <x:f>IFERROR(B9/C9,0)</x:f>
        <x:v>0.1</x:v>
      </x:c>
      <x:c r="E9" s="535" t="n">
        <x:f>RANK.EQ(B9,$B$3:$B$11,0)</x:f>
        <x:v>5</x:v>
      </x:c>
      <x:c r="F9" s="534" t="str">
        <x:f>A9&amp;"："&amp;B9&amp;"/"&amp;C9&amp;"（"&amp;TEXT(D9,"0.0%")&amp;"）"</x:f>
        <x:v>难以保存和延续此前的排错上下文：2/20（10.0%）</x:v>
      </x:c>
      <x:c r="G9" s="534" t="str">
        <x:f>IF(B9=0,"本轮未覆盖",IF(B9&lt;=3,"小样本，仅作探索性描述",""))</x:f>
        <x:v>小样本，仅作探索性描述</x:v>
      </x:c>
    </x:row>
    <x:row r="10">
      <x:c r="A10" s="534" t="str">
        <x:v>相同问题得到的回答不稳定</x:v>
      </x:c>
      <x:c r="B10" s="535" t="n">
        <x:f>SUM(tbl_core_metrics[shortcoming_inconsistent_answers])</x:f>
        <x:v>2</x:v>
      </x:c>
      <x:c r="C10" s="535" t="n">
        <x:f>COUNTIF(tbl_core_metrics[include_in_main_analysis],1)</x:f>
        <x:v>20</x:v>
      </x:c>
      <x:c r="D10" s="536" t="n">
        <x:f>IFERROR(B10/C10,0)</x:f>
        <x:v>0.1</x:v>
      </x:c>
      <x:c r="E10" s="535" t="n">
        <x:f>RANK.EQ(B10,$B$3:$B$11,0)</x:f>
        <x:v>5</x:v>
      </x:c>
      <x:c r="F10" s="534" t="str">
        <x:f>A10&amp;"："&amp;B10&amp;"/"&amp;C10&amp;"（"&amp;TEXT(D10,"0.0%")&amp;"）"</x:f>
        <x:v>相同问题得到的回答不稳定：2/20（10.0%）</x:v>
      </x:c>
      <x:c r="G10" s="534" t="str">
        <x:f>IF(B10=0,"本轮未覆盖",IF(B10&lt;=3,"小样本，仅作探索性描述",""))</x:f>
        <x:v>小样本，仅作探索性描述</x:v>
      </x:c>
    </x:row>
    <x:row r="11">
      <x:c r="A11" s="534" t="str">
        <x:v>其他</x:v>
      </x:c>
      <x:c r="B11" s="535" t="n">
        <x:f>SUM(tbl_core_metrics[shortcoming_other_flag])</x:f>
        <x:v>0</x:v>
      </x:c>
      <x:c r="C11" s="535" t="n">
        <x:f>COUNTIF(tbl_core_metrics[include_in_main_analysis],1)</x:f>
        <x:v>20</x:v>
      </x:c>
      <x:c r="D11" s="536" t="n">
        <x:f>IFERROR(B11/C11,0)</x:f>
        <x:v>0</x:v>
      </x:c>
      <x:c r="E11" s="535" t="n">
        <x:f>RANK.EQ(B11,$B$3:$B$11,0)</x:f>
        <x:v>9</x:v>
      </x:c>
      <x:c r="F11" s="534" t="str">
        <x:f>A11&amp;"："&amp;B11&amp;"/"&amp;C11&amp;"（"&amp;TEXT(D11,"0.0%")&amp;"）"</x:f>
        <x:v>其他：0/20（0.0%）</x:v>
      </x:c>
      <x:c r="G11" s="534" t="str">
        <x:f>IF(B11=0,"本轮未覆盖",IF(B11&lt;=3,"小样本，仅作探索性描述",""))</x:f>
        <x:v>本轮未覆盖</x:v>
      </x:c>
    </x:row>
    <x:row r="13">
      <x:c r="A13" s="544" t="str">
        <x:v>整体指标</x:v>
      </x:c>
      <x:c r="B13" s="544" t="str">
        <x:v>结果</x:v>
      </x:c>
      <x:c r="C13" s="544" t="str">
        <x:v>说明</x:v>
      </x:c>
    </x:row>
    <x:row r="14">
      <x:c r="A14" s="545" t="str">
        <x:v>至少报告一项不足的人数</x:v>
      </x:c>
      <x:c r="B14" s="546" t="n">
        <x:f>SUM(tbl_core_metrics[any_shortcoming])</x:f>
        <x:v>18</x:v>
      </x:c>
      <x:c r="C14" s="545" t="str">
        <x:v>人数</x:v>
      </x:c>
    </x:row>
    <x:row r="15">
      <x:c r="A15" s="545" t="str">
        <x:v>没有明显不足的人数</x:v>
      </x:c>
      <x:c r="B15" s="546" t="n">
        <x:f>SUM(tbl_core_metrics[shortcoming_none])</x:f>
        <x:v>2</x:v>
      </x:c>
      <x:c r="C15" s="545" t="str">
        <x:v>人数</x:v>
      </x:c>
    </x:row>
    <x:row r="16">
      <x:c r="A16" s="545" t="str">
        <x:v>两类人数合计</x:v>
      </x:c>
      <x:c r="B16" s="546" t="n">
        <x:f>SUM(tbl_core_metrics[any_shortcoming])+SUM(tbl_core_metrics[shortcoming_none])</x:f>
        <x:v>20</x:v>
      </x:c>
      <x:c r="C16" s="545" t="str">
        <x:v>无冲突、无缺失时应为20</x:v>
      </x:c>
    </x:row>
    <x:row r="17">
      <x:c r="A17" s="545" t="str">
        <x:v>所有不足选择总次数</x:v>
      </x:c>
      <x:c r="B17" s="546" t="n">
        <x:f>SUM(tbl_core_metrics[Q13_shortcoming_count])</x:f>
        <x:v>40</x:v>
      </x:c>
      <x:c r="C17" s="545" t="str">
        <x:v>不足选择次数，不是用户人数</x:v>
      </x:c>
    </x:row>
    <x:row r="19" ht="26" customHeight="1">
      <x:c r="A19" s="555" t="str">
        <x:v>跨题结论（Q12—Q13）</x:v>
      </x:c>
      <x:c r="B19" s="555"/>
      <x:c r="C19" s="555"/>
      <x:c r="D19" s="555"/>
      <x:c r="E19" s="555"/>
      <x:c r="F19" s="555"/>
      <x:c r="G19" s="555"/>
    </x:row>
    <x:row r="20" ht="30" customHeight="1">
      <x:c r="A20" s="554" t="str">
        <x:v>通用大模型或 AI 助手虽然是本轮使用率最高的解决方式，但用户仍普遍面临信息分散和证据不足等问题。这说明“使用率高”不等于“现有方式已充分满足复现需求”。</x:v>
      </x:c>
      <x:c r="B20" s="554"/>
      <x:c r="C20" s="554"/>
      <x:c r="D20" s="554"/>
      <x:c r="E20" s="554"/>
      <x:c r="F20" s="554"/>
      <x:c r="G20" s="554"/>
    </x:row>
    <x:row r="21" ht="30" customHeight="1">
      <x:c r="A21" s="554"/>
      <x:c r="B21" s="554"/>
      <x:c r="C21" s="554"/>
      <x:c r="D21" s="554"/>
      <x:c r="E21" s="554"/>
      <x:c r="F21" s="554"/>
      <x:c r="G21" s="554"/>
    </x:row>
  </x:sheetData>
  <x:mergeCells>
    <x:mergeCell ref="A19:G19"/>
    <x:mergeCell ref="A20:G2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2" hidden="0" customWidth="1"/>
    <x:col min="3" max="3" width="24" hidden="0" customWidth="1"/>
    <x:col min="4" max="4" width="12" hidden="0" customWidth="1"/>
    <x:col min="5" max="5" width="12" hidden="0" customWidth="1"/>
    <x:col min="6" max="6" width="39" hidden="0" customWidth="1"/>
    <x:col min="7" max="7" width="24" hidden="0" customWidth="1"/>
  </x:cols>
  <x:sheetData>
    <x:row r="1" ht="30" customHeight="1">
      <x:c r="A1" s="580" t="str">
        <x:v>展示分类</x:v>
      </x:c>
      <x:c r="B1" s="580" t="str">
        <x:v>数量 n</x:v>
      </x:c>
      <x:c r="C1" s="580" t="str">
        <x:v>分母 N</x:v>
      </x:c>
      <x:c r="D1" s="580" t="str">
        <x:v>比例</x:v>
      </x:c>
      <x:c r="E1" s="580" t="str">
        <x:v>频数排名</x:v>
      </x:c>
      <x:c r="F1" s="580" t="str">
        <x:v>标准报告文本</x:v>
      </x:c>
      <x:c r="G1" s="580" t="str">
        <x:v>备注</x:v>
      </x:c>
    </x:row>
    <x:row r="2">
      <x:c r="A2" s="584" t="str">
        <x:v>数据集是否能够获得，以及是否需要申请权限</x:v>
      </x:c>
      <x:c r="B2" s="585" t="n">
        <x:f>SUM(tbl_core_metrics[priority_data_access])</x:f>
        <x:v>15</x:v>
      </x:c>
      <x:c r="C2" s="585" t="n">
        <x:f>COUNTIF(tbl_core_metrics[include_in_main_analysis],1)</x:f>
        <x:v>20</x:v>
      </x:c>
      <x:c r="D2" s="586" t="n">
        <x:f>IFERROR(B2/C2,0)</x:f>
        <x:v>0.75</x:v>
      </x:c>
      <x:c r="E2" s="585" t="n">
        <x:f>RANK.EQ(B2,$B$2:$B$11,0)</x:f>
        <x:v>1</x:v>
      </x:c>
      <x:c r="F2" s="584" t="str">
        <x:f>A2&amp;"："&amp;B2&amp;"/"&amp;C2&amp;"（"&amp;TEXT(D2,"0.0%")&amp;"）"</x:f>
        <x:v>数据集是否能够获得，以及是否需要申请权限：15/20（75.0%）</x:v>
      </x:c>
      <x:c r="G2" s="584" t="str">
        <x:f>IF(B2=0,"本轮未覆盖",IF(B2&lt;=3,"小样本，仅作探索性描述",""))</x:f>
      </x:c>
    </x:row>
    <x:row r="3">
      <x:c r="A3" s="584" t="str">
        <x:v>是否提供可用的预训练权重</x:v>
      </x:c>
      <x:c r="B3" s="585" t="n">
        <x:f>SUM(tbl_core_metrics[priority_pretrained_weight])</x:f>
        <x:v>10</x:v>
      </x:c>
      <x:c r="C3" s="585" t="n">
        <x:f>COUNTIF(tbl_core_metrics[include_in_main_analysis],1)</x:f>
        <x:v>20</x:v>
      </x:c>
      <x:c r="D3" s="586" t="n">
        <x:f>IFERROR(B3/C3,0)</x:f>
        <x:v>0.5</x:v>
      </x:c>
      <x:c r="E3" s="585" t="n">
        <x:f>RANK.EQ(B3,$B$2:$B$11,0)</x:f>
        <x:v>2</x:v>
      </x:c>
      <x:c r="F3" s="584" t="str">
        <x:f>A3&amp;"："&amp;B3&amp;"/"&amp;C3&amp;"（"&amp;TEXT(D3,"0.0%")&amp;"）"</x:f>
        <x:v>是否提供可用的预训练权重：10/20（50.0%）</x:v>
      </x:c>
      <x:c r="G3" s="584" t="str">
        <x:f>IF(B3=0,"本轮未覆盖",IF(B3&lt;=3,"小样本，仅作探索性描述",""))</x:f>
      </x:c>
    </x:row>
    <x:row r="4">
      <x:c r="A4" s="584" t="str">
        <x:v>Python、CUDA 和深度学习框架的版本要求</x:v>
      </x:c>
      <x:c r="B4" s="585" t="n">
        <x:f>SUM(tbl_core_metrics[priority_version_requirements])</x:f>
        <x:v>9</x:v>
      </x:c>
      <x:c r="C4" s="585" t="n">
        <x:f>COUNTIF(tbl_core_metrics[include_in_main_analysis],1)</x:f>
        <x:v>20</x:v>
      </x:c>
      <x:c r="D4" s="586" t="n">
        <x:f>IFERROR(B4/C4,0)</x:f>
        <x:v>0.45</x:v>
      </x:c>
      <x:c r="E4" s="585" t="n">
        <x:f>RANK.EQ(B4,$B$2:$B$11,0)</x:f>
        <x:v>3</x:v>
      </x:c>
      <x:c r="F4" s="584" t="str">
        <x:f>A4&amp;"："&amp;B4&amp;"/"&amp;C4&amp;"（"&amp;TEXT(D4,"0.0%")&amp;"）"</x:f>
        <x:v>Python、CUDA 和深度学习框架的版本要求：9/20（45.0%）</x:v>
      </x:c>
      <x:c r="G4" s="584" t="str">
        <x:f>IF(B4=0,"本轮未覆盖",IF(B4&lt;=3,"小样本，仅作探索性描述",""))</x:f>
      </x:c>
    </x:row>
    <x:row r="5">
      <x:c r="A5" s="584" t="str">
        <x:v>所需显存、存储空间和预计运行时间</x:v>
      </x:c>
      <x:c r="B5" s="585" t="n">
        <x:f>SUM(tbl_core_metrics[priority_resource_requirements])</x:f>
        <x:v>6</x:v>
      </x:c>
      <x:c r="C5" s="585" t="n">
        <x:f>COUNTIF(tbl_core_metrics[include_in_main_analysis],1)</x:f>
        <x:v>20</x:v>
      </x:c>
      <x:c r="D5" s="586" t="n">
        <x:f>IFERROR(B5/C5,0)</x:f>
        <x:v>0.3</x:v>
      </x:c>
      <x:c r="E5" s="585" t="n">
        <x:f>RANK.EQ(B5,$B$2:$B$11,0)</x:f>
        <x:v>4</x:v>
      </x:c>
      <x:c r="F5" s="584" t="str">
        <x:f>A5&amp;"："&amp;B5&amp;"/"&amp;C5&amp;"（"&amp;TEXT(D5,"0.0%")&amp;"）"</x:f>
        <x:v>所需显存、存储空间和预计运行时间：6/20（30.0%）</x:v>
      </x:c>
      <x:c r="G5" s="584" t="str">
        <x:f>IF(B5=0,"本轮未覆盖",IF(B5&lt;=3,"小样本，仅作探索性描述",""))</x:f>
      </x:c>
    </x:row>
    <x:row r="6">
      <x:c r="A6" s="584" t="str">
        <x:v>启动命令、配置文件和关键路径是否完整</x:v>
      </x:c>
      <x:c r="B6" s="585" t="n">
        <x:f>SUM(tbl_core_metrics[priority_command_config_paths])</x:f>
        <x:v>3</x:v>
      </x:c>
      <x:c r="C6" s="585" t="n">
        <x:f>COUNTIF(tbl_core_metrics[include_in_main_analysis],1)</x:f>
        <x:v>20</x:v>
      </x:c>
      <x:c r="D6" s="586" t="n">
        <x:f>IFERROR(B6/C6,0)</x:f>
        <x:v>0.15</x:v>
      </x:c>
      <x:c r="E6" s="585" t="n">
        <x:f>RANK.EQ(B6,$B$2:$B$11,0)</x:f>
        <x:v>5</x:v>
      </x:c>
      <x:c r="F6" s="584" t="str">
        <x:f>A6&amp;"："&amp;B6&amp;"/"&amp;C6&amp;"（"&amp;TEXT(D6,"0.0%")&amp;"）"</x:f>
        <x:v>启动命令、配置文件和关键路径是否完整：3/20（15.0%）</x:v>
      </x:c>
      <x:c r="G6" s="584" t="str">
        <x:f>IF(B6=0,"本轮未覆盖",IF(B6&lt;=3,"小样本，仅作探索性描述",""))</x:f>
        <x:v>小样本，仅作探索性描述</x:v>
      </x:c>
    </x:row>
    <x:row r="7">
      <x:c r="A7" s="584" t="str">
        <x:v>论文与代码的评测指标和实验口径是否一致</x:v>
      </x:c>
      <x:c r="B7" s="585" t="n">
        <x:f>SUM(tbl_core_metrics[priority_evaluation_alignment])</x:f>
        <x:v>3</x:v>
      </x:c>
      <x:c r="C7" s="585" t="n">
        <x:f>COUNTIF(tbl_core_metrics[include_in_main_analysis],1)</x:f>
        <x:v>20</x:v>
      </x:c>
      <x:c r="D7" s="586" t="n">
        <x:f>IFERROR(B7/C7,0)</x:f>
        <x:v>0.15</x:v>
      </x:c>
      <x:c r="E7" s="585" t="n">
        <x:f>RANK.EQ(B7,$B$2:$B$11,0)</x:f>
        <x:v>5</x:v>
      </x:c>
      <x:c r="F7" s="584" t="str">
        <x:f>A7&amp;"："&amp;B7&amp;"/"&amp;C7&amp;"（"&amp;TEXT(D7,"0.0%")&amp;"）"</x:f>
        <x:v>论文与代码的评测指标和实验口径是否一致：3/20（15.0%）</x:v>
      </x:c>
      <x:c r="G7" s="584" t="str">
        <x:f>IF(B7=0,"本轮未覆盖",IF(B7&lt;=3,"小样本，仅作探索性描述",""))</x:f>
        <x:v>小样本，仅作探索性描述</x:v>
      </x:c>
    </x:row>
    <x:row r="8">
      <x:c r="A8" s="584" t="str">
        <x:v>项目许可证和允许使用的范围</x:v>
      </x:c>
      <x:c r="B8" s="585" t="n">
        <x:f>SUM(tbl_core_metrics[priority_license_scope])</x:f>
        <x:v>1</x:v>
      </x:c>
      <x:c r="C8" s="585" t="n">
        <x:f>COUNTIF(tbl_core_metrics[include_in_main_analysis],1)</x:f>
        <x:v>20</x:v>
      </x:c>
      <x:c r="D8" s="586" t="n">
        <x:f>IFERROR(B8/C8,0)</x:f>
        <x:v>0.05</x:v>
      </x:c>
      <x:c r="E8" s="585" t="n">
        <x:f>RANK.EQ(B8,$B$2:$B$11,0)</x:f>
        <x:v>7</x:v>
      </x:c>
      <x:c r="F8" s="584" t="str">
        <x:f>A8&amp;"："&amp;B8&amp;"/"&amp;C8&amp;"（"&amp;TEXT(D8,"0.0%")&amp;"）"</x:f>
        <x:v>项目许可证和允许使用的范围：1/20（5.0%）</x:v>
      </x:c>
      <x:c r="G8" s="584" t="str">
        <x:f>IF(B8=0,"本轮未覆盖",IF(B8&lt;=3,"小样本，仅作探索性描述",""))</x:f>
        <x:v>小样本，仅作探索性描述</x:v>
      </x:c>
    </x:row>
    <x:row r="9">
      <x:c r="A9" s="584" t="str">
        <x:v>可能导致复现失败的关键风险</x:v>
      </x:c>
      <x:c r="B9" s="585" t="n">
        <x:f>SUM(tbl_core_metrics[priority_failure_risks])</x:f>
        <x:v>1</x:v>
      </x:c>
      <x:c r="C9" s="585" t="n">
        <x:f>COUNTIF(tbl_core_metrics[include_in_main_analysis],1)</x:f>
        <x:v>20</x:v>
      </x:c>
      <x:c r="D9" s="586" t="n">
        <x:f>IFERROR(B9/C9,0)</x:f>
        <x:v>0.05</x:v>
      </x:c>
      <x:c r="E9" s="585" t="n">
        <x:f>RANK.EQ(B9,$B$2:$B$11,0)</x:f>
        <x:v>7</x:v>
      </x:c>
      <x:c r="F9" s="584" t="str">
        <x:f>A9&amp;"："&amp;B9&amp;"/"&amp;C9&amp;"（"&amp;TEXT(D9,"0.0%")&amp;"）"</x:f>
        <x:v>可能导致复现失败的关键风险：1/20（5.0%）</x:v>
      </x:c>
      <x:c r="G9" s="584" t="str">
        <x:f>IF(B9=0,"本轮未覆盖",IF(B9&lt;=3,"小样本，仅作探索性描述",""))</x:f>
        <x:v>小样本，仅作探索性描述</x:v>
      </x:c>
    </x:row>
    <x:row r="10">
      <x:c r="A10" s="584" t="str">
        <x:v>当前情况下最适合执行的第一步</x:v>
      </x:c>
      <x:c r="B10" s="585" t="n">
        <x:f>SUM(tbl_core_metrics[priority_first_step])</x:f>
        <x:v>1</x:v>
      </x:c>
      <x:c r="C10" s="585" t="n">
        <x:f>COUNTIF(tbl_core_metrics[include_in_main_analysis],1)</x:f>
        <x:v>20</x:v>
      </x:c>
      <x:c r="D10" s="586" t="n">
        <x:f>IFERROR(B10/C10,0)</x:f>
        <x:v>0.05</x:v>
      </x:c>
      <x:c r="E10" s="585" t="n">
        <x:f>RANK.EQ(B10,$B$2:$B$11,0)</x:f>
        <x:v>7</x:v>
      </x:c>
      <x:c r="F10" s="584" t="str">
        <x:f>A10&amp;"："&amp;B10&amp;"/"&amp;C10&amp;"（"&amp;TEXT(D10,"0.0%")&amp;"）"</x:f>
        <x:v>当前情况下最适合执行的第一步：1/20（5.0%）</x:v>
      </x:c>
      <x:c r="G10" s="584" t="str">
        <x:f>IF(B10=0,"本轮未覆盖",IF(B10&lt;=3,"小样本，仅作探索性描述",""))</x:f>
        <x:v>小样本，仅作探索性描述</x:v>
      </x:c>
    </x:row>
    <x:row r="11">
      <x:c r="A11" s="584" t="str">
        <x:v>其他</x:v>
      </x:c>
      <x:c r="B11" s="585" t="n">
        <x:f>SUM(tbl_core_metrics[priority_other_flag])</x:f>
        <x:v>0</x:v>
      </x:c>
      <x:c r="C11" s="585" t="n">
        <x:f>COUNTIF(tbl_core_metrics[include_in_main_analysis],1)</x:f>
        <x:v>20</x:v>
      </x:c>
      <x:c r="D11" s="586" t="n">
        <x:f>IFERROR(B11/C11,0)</x:f>
        <x:v>0</x:v>
      </x:c>
      <x:c r="E11" s="585" t="n">
        <x:f>RANK.EQ(B11,$B$2:$B$11,0)</x:f>
        <x:v>10</x:v>
      </x:c>
      <x:c r="F11" s="584" t="str">
        <x:f>A11&amp;"："&amp;B11&amp;"/"&amp;C11&amp;"（"&amp;TEXT(D11,"0.0%")&amp;"）"</x:f>
        <x:v>其他：0/20（0.0%）</x:v>
      </x:c>
      <x:c r="G11" s="584" t="str">
        <x:f>IF(B11=0,"本轮未覆盖",IF(B11&lt;=3,"小样本，仅作探索性描述",""))</x:f>
        <x:v>本轮未覆盖</x:v>
      </x:c>
    </x:row>
    <x:row r="13">
      <x:c r="A13" s="594" t="str">
        <x:v>总体选择检查</x:v>
      </x:c>
      <x:c r="B13" s="594" t="str">
        <x:v>结果</x:v>
      </x:c>
      <x:c r="C13" s="594" t="str">
        <x:v>验收标准</x:v>
      </x:c>
    </x:row>
    <x:row r="14">
      <x:c r="A14" s="595" t="str">
        <x:v>所有选择总次数</x:v>
      </x:c>
      <x:c r="B14" s="596" t="n">
        <x:f>SUM(tbl_core_metrics[Q14_selection_count])</x:f>
        <x:v>49</x:v>
      </x:c>
      <x:c r="C14" s="595" t="str">
        <x:v>20—60次</x:v>
      </x:c>
    </x:row>
    <x:row r="15">
      <x:c r="A15" s="595" t="str">
        <x:v>选择1项的人数</x:v>
      </x:c>
      <x:c r="B15" s="596" t="n">
        <x:f>COUNTIF(tbl_core_metrics[Q14_selection_count],1)</x:f>
        <x:v>3</x:v>
      </x:c>
      <x:c r="C15" s="595" t="str">
        <x:v>人数</x:v>
      </x:c>
    </x:row>
    <x:row r="16">
      <x:c r="A16" s="595" t="str">
        <x:v>选择2项的人数</x:v>
      </x:c>
      <x:c r="B16" s="596" t="n">
        <x:f>COUNTIF(tbl_core_metrics[Q14_selection_count],2)</x:f>
        <x:v>5</x:v>
      </x:c>
      <x:c r="C16" s="595" t="str">
        <x:v>人数</x:v>
      </x:c>
    </x:row>
    <x:row r="17">
      <x:c r="A17" s="595" t="str">
        <x:v>选择3项的人数</x:v>
      </x:c>
      <x:c r="B17" s="596" t="n">
        <x:f>COUNTIF(tbl_core_metrics[Q14_selection_count],3)</x:f>
        <x:v>12</x:v>
      </x:c>
      <x:c r="C17" s="595" t="str">
        <x:v>人数</x:v>
      </x:c>
    </x:row>
    <x:row r="18">
      <x:c r="A18" s="595" t="str">
        <x:v>1/2/3项人数合计</x:v>
      </x:c>
      <x:c r="B18" s="596" t="n">
        <x:f>SUM(B15:B17)</x:f>
        <x:v>20</x:v>
      </x:c>
      <x:c r="C18" s="595" t="str">
        <x:v>应为20</x:v>
      </x:c>
    </x:row>
    <x:row r="20" ht="26" customHeight="1">
      <x:c r="A20" s="588" t="str">
        <x:v>Top 3 解释规则</x:v>
      </x:c>
      <x:c r="B20" s="588"/>
      <x:c r="C20" s="588"/>
      <x:c r="D20" s="588"/>
      <x:c r="E20" s="588"/>
      <x:c r="F20" s="588"/>
      <x:c r="G20" s="588"/>
    </x:row>
    <x:row r="21" ht="30" customHeight="1">
      <x:c r="A21" s="600" t="str">
        <x:v>本轮选择频数最高的三项为：数据集是否能够获得以及是否需要申请权限、是否提供可用的预训练权重、Python、CUDA 和深度学习框架的版本要求。这是总体选择频数排名，不代表每位用户的第一、第二、第三优先级。</x:v>
      </x:c>
      <x:c r="B21" s="600"/>
      <x:c r="C21" s="600"/>
      <x:c r="D21" s="600"/>
      <x:c r="E21" s="600"/>
      <x:c r="F21" s="600"/>
      <x:c r="G21" s="600"/>
    </x:row>
    <x:row r="22" ht="30" customHeight="1">
      <x:c r="A22" s="600"/>
      <x:c r="B22" s="600"/>
      <x:c r="C22" s="600"/>
      <x:c r="D22" s="600"/>
      <x:c r="E22" s="600"/>
      <x:c r="F22" s="600"/>
      <x:c r="G22" s="600"/>
    </x:row>
  </x:sheetData>
  <x:mergeCells>
    <x:mergeCell ref="A20:G20"/>
    <x:mergeCell ref="A21:G2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8" hidden="0" customWidth="1"/>
    <x:col min="3" max="3" width="55" hidden="0" customWidth="1"/>
    <x:col min="4" max="4" width="18" hidden="0" customWidth="1"/>
    <x:col min="5" max="5" width="16" hidden="0" customWidth="1"/>
    <x:col min="6" max="6" width="16" hidden="0" customWidth="1"/>
    <x:col min="7" max="7" width="20" hidden="0" customWidth="1"/>
    <x:col min="8" max="8" width="12" hidden="0" customWidth="1"/>
  </x:cols>
  <x:sheetData>
    <x:row r="1" ht="34" customHeight="1">
      <x:c r="A1" s="619" t="str">
        <x:v>操作</x:v>
      </x:c>
      <x:c r="B1" s="619" t="str">
        <x:v>可直接执行</x:v>
      </x:c>
      <x:c r="C1" s="619" t="str">
        <x:v>展示并确认</x:v>
      </x:c>
      <x:c r="D1" s="619" t="str">
        <x:v>每步单独审批</x:v>
      </x:c>
      <x:c r="E1" s="619" t="str">
        <x:v>完全不允许</x:v>
      </x:c>
      <x:c r="F1" s="619" t="str">
        <x:v>非直接执行</x:v>
      </x:c>
      <x:c r="G1" s="619" t="str">
        <x:v>非直接执行比例</x:v>
      </x:c>
      <x:c r="H1" s="619" t="str">
        <x:v>合计</x:v>
      </x:c>
    </x:row>
    <x:row r="2" ht="30" customHeight="1">
      <x:c r="A2" s="623" t="str">
        <x:v>读取项目文件和环境信息</x:v>
      </x:c>
      <x:c r="B2" s="624" t="n">
        <x:f>COUNTIF(tbl_core_metrics[q15_permission_read_files],1)</x:f>
        <x:v>15</x:v>
      </x:c>
      <x:c r="C2" s="624" t="n">
        <x:f>COUNTIF(tbl_core_metrics[q15_permission_read_files],2)</x:f>
        <x:v>3</x:v>
      </x:c>
      <x:c r="D2" s="624" t="n">
        <x:f>COUNTIF(tbl_core_metrics[q15_permission_read_files],3)</x:f>
        <x:v>2</x:v>
      </x:c>
      <x:c r="E2" s="624" t="n">
        <x:f>COUNTIF(tbl_core_metrics[q15_permission_read_files],4)</x:f>
        <x:v>0</x:v>
      </x:c>
      <x:c r="F2" s="624" t="n">
        <x:f>SUM(C2:E2)</x:f>
        <x:v>5</x:v>
      </x:c>
      <x:c r="G2" s="625" t="n">
        <x:f>IFERROR(F2/COUNTIF(tbl_core_metrics[include_in_main_analysis],1),0)</x:f>
        <x:v>0.25</x:v>
      </x:c>
      <x:c r="H2" s="624" t="n">
        <x:f>SUM(B2:E2)</x:f>
        <x:v>20</x:v>
      </x:c>
    </x:row>
    <x:row r="3" ht="30" customHeight="1">
      <x:c r="A3" s="623" t="str">
        <x:v>安装或更新依赖</x:v>
      </x:c>
      <x:c r="B3" s="624" t="n">
        <x:f>COUNTIF(tbl_core_metrics[q15_permission_install_dependencies],1)</x:f>
        <x:v>15</x:v>
      </x:c>
      <x:c r="C3" s="624" t="n">
        <x:f>COUNTIF(tbl_core_metrics[q15_permission_install_dependencies],2)</x:f>
        <x:v>4</x:v>
      </x:c>
      <x:c r="D3" s="624" t="n">
        <x:f>COUNTIF(tbl_core_metrics[q15_permission_install_dependencies],3)</x:f>
        <x:v>1</x:v>
      </x:c>
      <x:c r="E3" s="624" t="n">
        <x:f>COUNTIF(tbl_core_metrics[q15_permission_install_dependencies],4)</x:f>
        <x:v>0</x:v>
      </x:c>
      <x:c r="F3" s="624" t="n">
        <x:f>SUM(C3:E3)</x:f>
        <x:v>5</x:v>
      </x:c>
      <x:c r="G3" s="625" t="n">
        <x:f>IFERROR(F3/COUNTIF(tbl_core_metrics[include_in_main_analysis],1),0)</x:f>
        <x:v>0.25</x:v>
      </x:c>
      <x:c r="H3" s="624" t="n">
        <x:f>SUM(B3:E3)</x:f>
        <x:v>20</x:v>
      </x:c>
    </x:row>
    <x:row r="4" ht="30" customHeight="1">
      <x:c r="A4" s="623" t="str">
        <x:v>修改配置文件</x:v>
      </x:c>
      <x:c r="B4" s="624" t="n">
        <x:f>COUNTIF(tbl_core_metrics[q15_permission_modify_config],1)</x:f>
        <x:v>6</x:v>
      </x:c>
      <x:c r="C4" s="624" t="n">
        <x:f>COUNTIF(tbl_core_metrics[q15_permission_modify_config],2)</x:f>
        <x:v>9</x:v>
      </x:c>
      <x:c r="D4" s="624" t="n">
        <x:f>COUNTIF(tbl_core_metrics[q15_permission_modify_config],3)</x:f>
        <x:v>4</x:v>
      </x:c>
      <x:c r="E4" s="624" t="n">
        <x:f>COUNTIF(tbl_core_metrics[q15_permission_modify_config],4)</x:f>
        <x:v>1</x:v>
      </x:c>
      <x:c r="F4" s="624" t="n">
        <x:f>SUM(C4:E4)</x:f>
        <x:v>14</x:v>
      </x:c>
      <x:c r="G4" s="625" t="n">
        <x:f>IFERROR(F4/COUNTIF(tbl_core_metrics[include_in_main_analysis],1),0)</x:f>
        <x:v>0.7</x:v>
      </x:c>
      <x:c r="H4" s="624" t="n">
        <x:f>SUM(B4:E4)</x:f>
        <x:v>20</x:v>
      </x:c>
    </x:row>
    <x:row r="5" ht="30" customHeight="1">
      <x:c r="A5" s="623" t="str">
        <x:v>覆盖已有文件</x:v>
      </x:c>
      <x:c r="B5" s="624" t="n">
        <x:f>COUNTIF(tbl_core_metrics[q15_permission_overwrite_files],1)</x:f>
        <x:v>3</x:v>
      </x:c>
      <x:c r="C5" s="624" t="n">
        <x:f>COUNTIF(tbl_core_metrics[q15_permission_overwrite_files],2)</x:f>
        <x:v>9</x:v>
      </x:c>
      <x:c r="D5" s="624" t="n">
        <x:f>COUNTIF(tbl_core_metrics[q15_permission_overwrite_files],3)</x:f>
        <x:v>5</x:v>
      </x:c>
      <x:c r="E5" s="624" t="n">
        <x:f>COUNTIF(tbl_core_metrics[q15_permission_overwrite_files],4)</x:f>
        <x:v>3</x:v>
      </x:c>
      <x:c r="F5" s="624" t="n">
        <x:f>SUM(C5:E5)</x:f>
        <x:v>17</x:v>
      </x:c>
      <x:c r="G5" s="625" t="n">
        <x:f>IFERROR(F5/COUNTIF(tbl_core_metrics[include_in_main_analysis],1),0)</x:f>
        <x:v>0.85</x:v>
      </x:c>
      <x:c r="H5" s="624" t="n">
        <x:f>SUM(B5:E5)</x:f>
        <x:v>20</x:v>
      </x:c>
    </x:row>
    <x:row r="6" ht="30" customHeight="1">
      <x:c r="A6" s="623" t="str">
        <x:v>删除文件</x:v>
      </x:c>
      <x:c r="B6" s="624" t="n">
        <x:f>COUNTIF(tbl_core_metrics[q15_permission_delete_files],1)</x:f>
        <x:v>2</x:v>
      </x:c>
      <x:c r="C6" s="624" t="n">
        <x:f>COUNTIF(tbl_core_metrics[q15_permission_delete_files],2)</x:f>
        <x:v>10</x:v>
      </x:c>
      <x:c r="D6" s="624" t="n">
        <x:f>COUNTIF(tbl_core_metrics[q15_permission_delete_files],3)</x:f>
        <x:v>5</x:v>
      </x:c>
      <x:c r="E6" s="624" t="n">
        <x:f>COUNTIF(tbl_core_metrics[q15_permission_delete_files],4)</x:f>
        <x:v>3</x:v>
      </x:c>
      <x:c r="F6" s="624" t="n">
        <x:f>SUM(C6:E6)</x:f>
        <x:v>18</x:v>
      </x:c>
      <x:c r="G6" s="625" t="n">
        <x:f>IFERROR(F6/COUNTIF(tbl_core_metrics[include_in_main_analysis],1),0)</x:f>
        <x:v>0.9</x:v>
      </x:c>
      <x:c r="H6" s="624" t="n">
        <x:f>SUM(B6:E6)</x:f>
        <x:v>20</x:v>
      </x:c>
    </x:row>
    <x:row r="7" ht="30" customHeight="1">
      <x:c r="A7" s="623" t="str">
        <x:v>启动训练或测试任务</x:v>
      </x:c>
      <x:c r="B7" s="624" t="n">
        <x:f>COUNTIF(tbl_core_metrics[q15_permission_run_task],1)</x:f>
        <x:v>10</x:v>
      </x:c>
      <x:c r="C7" s="624" t="n">
        <x:f>COUNTIF(tbl_core_metrics[q15_permission_run_task],2)</x:f>
        <x:v>9</x:v>
      </x:c>
      <x:c r="D7" s="624" t="n">
        <x:f>COUNTIF(tbl_core_metrics[q15_permission_run_task],3)</x:f>
        <x:v>1</x:v>
      </x:c>
      <x:c r="E7" s="624" t="n">
        <x:f>COUNTIF(tbl_core_metrics[q15_permission_run_task],4)</x:f>
        <x:v>0</x:v>
      </x:c>
      <x:c r="F7" s="624" t="n">
        <x:f>SUM(C7:E7)</x:f>
        <x:v>10</x:v>
      </x:c>
      <x:c r="G7" s="625" t="n">
        <x:f>IFERROR(F7/COUNTIF(tbl_core_metrics[include_in_main_analysis],1),0)</x:f>
        <x:v>0.5</x:v>
      </x:c>
      <x:c r="H7" s="624" t="n">
        <x:f>SUM(B7:E7)</x:f>
        <x:v>20</x:v>
      </x:c>
    </x:row>
    <x:row r="9">
      <x:c r="A9" s="616" t="str">
        <x:v>统计口径说明</x:v>
      </x:c>
      <x:c r="B9" s="616"/>
      <x:c r="C9" s="616"/>
      <x:c r="D9" s="616"/>
      <x:c r="E9" s="616"/>
      <x:c r="F9" s="616"/>
      <x:c r="G9" s="616"/>
      <x:c r="H9" s="616"/>
    </x:row>
    <x:row r="10" ht="28" customHeight="1">
      <x:c r="A10" s="629" t="str">
        <x:v>“展示并确认”“每步单独审批”和“完全不允许”在原始分布中分别报告。仅在判断“是否接受无审批直接执行”时，将编码2—4汇总为“非直接执行”。</x:v>
      </x:c>
      <x:c r="B10" s="629"/>
      <x:c r="C10" s="629"/>
      <x:c r="D10" s="629"/>
      <x:c r="E10" s="629"/>
      <x:c r="F10" s="629"/>
      <x:c r="G10" s="629"/>
      <x:c r="H10" s="629"/>
    </x:row>
    <x:row r="11" ht="28" customHeight="1">
      <x:c r="A11" s="629"/>
      <x:c r="B11" s="629"/>
      <x:c r="C11" s="629"/>
      <x:c r="D11" s="629"/>
      <x:c r="E11" s="629"/>
      <x:c r="F11" s="629"/>
      <x:c r="G11" s="629"/>
      <x:c r="H11" s="629"/>
    </x:row>
    <x:row r="13">
      <x:c r="A13" s="649" t="str">
        <x:v>H4操作</x:v>
      </x:c>
      <x:c r="B13" s="649" t="str">
        <x:v>拒绝无审批直接执行</x:v>
      </x:c>
      <x:c r="C13" s="649" t="str">
        <x:v>比例</x:v>
      </x:c>
      <x:c r="D13" s="649" t="str">
        <x:v>是否达到70%</x:v>
      </x:c>
    </x:row>
    <x:row r="14">
      <x:c r="A14" s="652" t="str">
        <x:v>安装或更新依赖</x:v>
      </x:c>
      <x:c r="B14" s="653" t="n">
        <x:f>SUM('10_Q15_AI操作权限'!C3:E3)</x:f>
        <x:v>5</x:v>
      </x:c>
      <x:c r="C14" s="654" t="n">
        <x:f>B14/COUNTIF(tbl_core_metrics[include_in_main_analysis],1)</x:f>
        <x:v>0.25</x:v>
      </x:c>
      <x:c r="D14" s="653" t="str">
        <x:f>IF(C14&gt;=70%,"是","否")</x:f>
        <x:v>否</x:v>
      </x:c>
    </x:row>
    <x:row r="15">
      <x:c r="A15" s="652" t="str">
        <x:v>覆盖已有文件</x:v>
      </x:c>
      <x:c r="B15" s="653" t="n">
        <x:f>SUM('10_Q15_AI操作权限'!C5:E5)</x:f>
        <x:v>17</x:v>
      </x:c>
      <x:c r="C15" s="654" t="n">
        <x:f>B15/COUNTIF(tbl_core_metrics[include_in_main_analysis],1)</x:f>
        <x:v>0.85</x:v>
      </x:c>
      <x:c r="D15" s="653" t="str">
        <x:f>IF(C15&gt;=70%,"是","否")</x:f>
        <x:v>是</x:v>
      </x:c>
    </x:row>
    <x:row r="16">
      <x:c r="A16" s="652" t="str">
        <x:v>删除文件</x:v>
      </x:c>
      <x:c r="B16" s="653" t="n">
        <x:f>SUM('10_Q15_AI操作权限'!C6:E6)</x:f>
        <x:v>18</x:v>
      </x:c>
      <x:c r="C16" s="654" t="n">
        <x:f>B16/COUNTIF(tbl_core_metrics[include_in_main_analysis],1)</x:f>
        <x:v>0.9</x:v>
      </x:c>
      <x:c r="D16" s="653" t="str">
        <x:f>IF(C16&gt;=70%,"是","否")</x:f>
        <x:v>是</x:v>
      </x:c>
    </x:row>
    <x:row r="17">
      <x:c r="A17"/>
      <x:c r="B17"/>
      <x:c r="C17"/>
    </x:row>
    <x:row r="18">
      <x:c r="A18" s="656" t="str">
        <x:v>补充分析</x:v>
      </x:c>
      <x:c r="B18" s="656" t="str">
        <x:v>结果</x:v>
      </x:c>
      <x:c r="C18" s="656" t="str">
        <x:v>说明</x:v>
      </x:c>
    </x:row>
    <x:row r="19">
      <x:c r="A19" s="663" t="str">
        <x:v>三项均拒绝直接执行：5/20（25.0%）</x:v>
      </x:c>
      <x:c r="B19" s="665"/>
      <x:c r="C19" s="663" t="str">
        <x:v>备注：探索性联合指标，不作为原预设门槛的正式判定依据</x:v>
      </x:c>
    </x:row>
    <x:row r="20">
      <x:c r="A20" s="663"/>
      <x:c r="B20" s="666"/>
      <x:c r="C20" s="663"/>
    </x:row>
    <x:row r="22">
      <x:c r="A22" s="646" t="str">
        <x:v>H4问卷侧结论</x:v>
      </x:c>
      <x:c r="B22" s="646"/>
      <x:c r="C22" s="646"/>
      <x:c r="D22" s="646"/>
      <x:c r="E22" s="646"/>
      <x:c r="F22" s="646"/>
      <x:c r="G22" s="646"/>
      <x:c r="H22" s="646"/>
    </x:row>
    <x:row r="23" ht="39" customHeight="1">
      <x:c r="A23" s="670" t="str">
        <x:v>安装依赖拒绝无审批直接执行：5/20（25.0%），未达到70%
覆盖文件拒绝无审批直接执行：17/20（85.0%），达到70%
删除文件拒绝无审批直接执行：18/20（90.0%），达到70%
H4问卷侧判断：部分支持，但未整体达到预设门槛。
本结果仅反映用户对 AI 操作权限的态度，不表示产品安全机制已经验证。危险操作拦截仍需后续异步安全测试达到100%。</x:v>
      </x:c>
      <x:c r="B23" s="670"/>
      <x:c r="C23" s="670"/>
      <x:c r="D23" s="670"/>
      <x:c r="E23" s="670"/>
      <x:c r="F23" s="670"/>
      <x:c r="G23" s="670"/>
      <x:c r="H23" s="670"/>
    </x:row>
    <x:row r="24" ht="39" customHeight="1">
      <x:c r="A24" s="670"/>
      <x:c r="B24" s="670"/>
      <x:c r="C24" s="670"/>
      <x:c r="D24" s="670"/>
      <x:c r="E24" s="670"/>
      <x:c r="F24" s="670"/>
      <x:c r="G24" s="670"/>
      <x:c r="H24" s="670"/>
    </x:row>
    <x:row r="25" ht="39" customHeight="1">
      <x:c r="A25" s="670"/>
      <x:c r="B25" s="670"/>
      <x:c r="C25" s="670"/>
      <x:c r="D25" s="670"/>
      <x:c r="E25" s="670"/>
      <x:c r="F25" s="670"/>
      <x:c r="G25" s="670"/>
      <x:c r="H25" s="670"/>
    </x:row>
    <x:row r="26" ht="39" customHeight="1">
      <x:c r="A26" s="670"/>
      <x:c r="B26" s="670"/>
      <x:c r="C26" s="670"/>
      <x:c r="D26" s="670"/>
      <x:c r="E26" s="670"/>
      <x:c r="F26" s="670"/>
      <x:c r="G26" s="670"/>
      <x:c r="H26" s="670"/>
    </x:row>
    <x:row r="28">
      <x:c r="A28" s="690" t="str">
        <x:v>Q15状态</x:v>
      </x:c>
      <x:c r="B28" s="690" t="str">
        <x:v>内容</x:v>
      </x:c>
    </x:row>
    <x:row r="29">
      <x:c r="A29" s="691" t="str">
        <x:v>状态</x:v>
      </x:c>
      <x:c r="B29" s="691" t="str">
        <x:v>Q15统计完成</x:v>
      </x:c>
    </x:row>
    <x:row r="30">
      <x:c r="A30" s="691" t="str">
        <x:v>H4问卷侧结论</x:v>
      </x:c>
      <x:c r="B30" s="691" t="str">
        <x:v>部分支持，但未整体达到预设门槛</x:v>
      </x:c>
    </x:row>
  </x:sheetData>
  <x:mergeCells>
    <x:mergeCell ref="A9:H9"/>
    <x:mergeCell ref="A10:H11"/>
    <x:mergeCell ref="A22:H22"/>
    <x:mergeCell ref="A23:H26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4" hidden="0" customWidth="1"/>
    <x:col min="3" max="3" width="48" hidden="0" customWidth="1"/>
    <x:col min="4" max="4" width="12" hidden="0" customWidth="1"/>
    <x:col min="5" max="5" width="45" hidden="0" customWidth="1"/>
    <x:col min="6" max="6" width="24" hidden="0" customWidth="1"/>
  </x:cols>
  <x:sheetData>
    <x:row r="1" ht="30" customHeight="1">
      <x:c r="A1" s="697" t="str">
        <x:v>展示分类</x:v>
      </x:c>
      <x:c r="B1" s="697" t="str">
        <x:v>数量 n</x:v>
      </x:c>
      <x:c r="C1" s="697" t="str">
        <x:v>分母 N</x:v>
      </x:c>
      <x:c r="D1" s="697" t="str">
        <x:v>比例</x:v>
      </x:c>
      <x:c r="E1" s="697" t="str">
        <x:v>标准报告文本</x:v>
      </x:c>
      <x:c r="F1" s="697" t="str">
        <x:v>备注</x:v>
      </x:c>
    </x:row>
    <x:row r="2">
      <x:c r="A2" s="701" t="str">
        <x:v>分享给导师或负责人，用于确认是否值得继续投入</x:v>
      </x:c>
      <x:c r="B2" s="702" t="n">
        <x:f>SUM(tbl_core_metrics[report_share_supervisor])</x:f>
        <x:v>18</x:v>
      </x:c>
      <x:c r="C2" s="702" t="n">
        <x:f>COUNTIF(tbl_core_metrics[include_in_main_analysis],1)</x:f>
        <x:v>20</x:v>
      </x:c>
      <x:c r="D2" s="703" t="n">
        <x:f>IFERROR(B2/C2,0)</x:f>
        <x:v>0.9</x:v>
      </x:c>
      <x:c r="E2" s="701" t="str">
        <x:f>A2&amp;"："&amp;B2&amp;"/"&amp;C2&amp;"（"&amp;TEXT(D2,"0.0%")&amp;"）"</x:f>
        <x:v>分享给导师或负责人，用于确认是否值得继续投入：18/20（90.0%）</x:v>
      </x:c>
      <x:c r="F2" s="701" t="str">
        <x:f>IF(B2=0,"本轮未覆盖",IF(B2&lt;=3,"小样本，仅作探索性描述",""))</x:f>
      </x:c>
    </x:row>
    <x:row r="3">
      <x:c r="A3" s="701" t="str">
        <x:v>分享给同学或同事，请对方协助处理具体问题</x:v>
      </x:c>
      <x:c r="B3" s="702" t="n">
        <x:f>SUM(tbl_core_metrics[report_share_peer])</x:f>
        <x:v>8</x:v>
      </x:c>
      <x:c r="C3" s="702" t="n">
        <x:f>COUNTIF(tbl_core_metrics[include_in_main_analysis],1)</x:f>
        <x:v>20</x:v>
      </x:c>
      <x:c r="D3" s="703" t="n">
        <x:f>IFERROR(B3/C3,0)</x:f>
        <x:v>0.4</x:v>
      </x:c>
      <x:c r="E3" s="701" t="str">
        <x:f>A3&amp;"："&amp;B3&amp;"/"&amp;C3&amp;"（"&amp;TEXT(D3,"0.0%")&amp;"）"</x:f>
        <x:v>分享给同学或同事，请对方协助处理具体问题：8/20（40.0%）</x:v>
      </x:c>
      <x:c r="F3" s="701" t="str">
        <x:f>IF(B3=0,"本轮未覆盖",IF(B3&lt;=3,"小样本，仅作探索性描述",""))</x:f>
      </x:c>
    </x:row>
    <x:row r="4">
      <x:c r="A4" s="701" t="str">
        <x:v>分享给项目成员，用于同步环境、资源或复现风险</x:v>
      </x:c>
      <x:c r="B4" s="702" t="n">
        <x:f>SUM(tbl_core_metrics[report_share_team])</x:f>
        <x:v>10</x:v>
      </x:c>
      <x:c r="C4" s="702" t="n">
        <x:f>COUNTIF(tbl_core_metrics[include_in_main_analysis],1)</x:f>
        <x:v>20</x:v>
      </x:c>
      <x:c r="D4" s="703" t="n">
        <x:f>IFERROR(B4/C4,0)</x:f>
        <x:v>0.5</x:v>
      </x:c>
      <x:c r="E4" s="701" t="str">
        <x:f>A4&amp;"："&amp;B4&amp;"/"&amp;C4&amp;"（"&amp;TEXT(D4,"0.0%")&amp;"）"</x:f>
        <x:v>分享给项目成员，用于同步环境、资源或复现风险：10/20（50.0%）</x:v>
      </x:c>
      <x:c r="F4" s="701" t="str">
        <x:f>IF(B4=0,"本轮未覆盖",IF(B4&lt;=3,"小样本，仅作探索性描述",""))</x:f>
      </x:c>
    </x:row>
    <x:row r="5">
      <x:c r="A5" s="701" t="str">
        <x:v>仅自己查看和留存</x:v>
      </x:c>
      <x:c r="B5" s="702" t="n">
        <x:f>SUM(tbl_core_metrics[report_self_only])</x:f>
        <x:v>3</x:v>
      </x:c>
      <x:c r="C5" s="702" t="n">
        <x:f>COUNTIF(tbl_core_metrics[include_in_main_analysis],1)</x:f>
        <x:v>20</x:v>
      </x:c>
      <x:c r="D5" s="703" t="n">
        <x:f>IFERROR(B5/C5,0)</x:f>
        <x:v>0.15</x:v>
      </x:c>
      <x:c r="E5" s="701" t="str">
        <x:f>A5&amp;"："&amp;B5&amp;"/"&amp;C5&amp;"（"&amp;TEXT(D5,"0.0%")&amp;"）"</x:f>
        <x:v>仅自己查看和留存：3/20（15.0%）</x:v>
      </x:c>
      <x:c r="F5" s="701" t="str">
        <x:f>IF(B5=0,"本轮未覆盖",IF(B5&lt;=3,"小样本，仅作探索性描述",""))</x:f>
        <x:v>小样本，仅作探索性描述</x:v>
      </x:c>
    </x:row>
    <x:row r="6">
      <x:c r="A6" s="701" t="str">
        <x:v>不会使用或分享这类报告</x:v>
      </x:c>
      <x:c r="B6" s="702" t="n">
        <x:f>SUM(tbl_core_metrics[report_not_use_share])</x:f>
        <x:v>1</x:v>
      </x:c>
      <x:c r="C6" s="702" t="n">
        <x:f>COUNTIF(tbl_core_metrics[include_in_main_analysis],1)</x:f>
        <x:v>20</x:v>
      </x:c>
      <x:c r="D6" s="703" t="n">
        <x:f>IFERROR(B6/C6,0)</x:f>
        <x:v>0.05</x:v>
      </x:c>
      <x:c r="E6" s="701" t="str">
        <x:f>A6&amp;"："&amp;B6&amp;"/"&amp;C6&amp;"（"&amp;TEXT(D6,"0.0%")&amp;"）"</x:f>
        <x:v>不会使用或分享这类报告：1/20（5.0%）</x:v>
      </x:c>
      <x:c r="F6" s="701" t="str">
        <x:f>IF(B6=0,"本轮未覆盖",IF(B6&lt;=3,"小样本，仅作探索性描述",""))</x:f>
        <x:v>小样本，仅作探索性描述</x:v>
      </x:c>
    </x:row>
    <x:row r="7">
      <x:c r="A7" s="701" t="str">
        <x:v>其他</x:v>
      </x:c>
      <x:c r="B7" s="702" t="n">
        <x:f>SUM(tbl_core_metrics[report_share_other_flag])</x:f>
        <x:v>0</x:v>
      </x:c>
      <x:c r="C7" s="702" t="n">
        <x:f>COUNTIF(tbl_core_metrics[include_in_main_analysis],1)</x:f>
        <x:v>20</x:v>
      </x:c>
      <x:c r="D7" s="703" t="n">
        <x:f>IFERROR(B7/C7,0)</x:f>
        <x:v>0</x:v>
      </x:c>
      <x:c r="E7" s="701" t="str">
        <x:f>A7&amp;"："&amp;B7&amp;"/"&amp;C7&amp;"（"&amp;TEXT(D7,"0.0%")&amp;"）"</x:f>
        <x:v>其他：0/20（0.0%）</x:v>
      </x:c>
      <x:c r="F7" s="701" t="str">
        <x:f>IF(B7=0,"本轮未覆盖",IF(B7&lt;=3,"小样本，仅作探索性描述",""))</x:f>
        <x:v>本轮未覆盖</x:v>
      </x:c>
    </x:row>
    <x:row r="9">
      <x:c r="A9" s="704" t="str">
        <x:v>H6问卷侧指标</x:v>
      </x:c>
      <x:c r="B9" s="704" t="str">
        <x:v>结果</x:v>
      </x:c>
      <x:c r="C9" s="704" t="str">
        <x:v>说明</x:v>
      </x:c>
    </x:row>
    <x:row r="10">
      <x:c r="A10" s="708" t="str">
        <x:v>明确分享对象人数</x:v>
      </x:c>
      <x:c r="B10" s="709" t="n">
        <x:f>SUM(tbl_core_metrics[any_explicit_share_target])</x:f>
        <x:v>18</x:v>
      </x:c>
      <x:c r="C10" s="708" t="str">
        <x:v>导师/负责人、同学/同事或项目成员</x:v>
      </x:c>
    </x:row>
    <x:row r="11">
      <x:c r="A11" s="708" t="str">
        <x:v>占有效样本比例</x:v>
      </x:c>
      <x:c r="B11" s="710" t="n">
        <x:f>IFERROR(B10/COUNTIF(tbl_core_metrics[include_in_main_analysis],1),0)</x:f>
        <x:v>0.9</x:v>
      </x:c>
      <x:c r="C11" s="708" t="str">
        <x:v>主分析分母 N=20</x:v>
      </x:c>
    </x:row>
    <x:row r="12">
      <x:c r="A12" s="708" t="str">
        <x:v>H6问卷侧预设门槛</x:v>
      </x:c>
      <x:c r="B12" s="710" t="n">
        <x:v>0.4</x:v>
      </x:c>
      <x:c r="C12" s="708" t="str">
        <x:v>40.0%</x:v>
      </x:c>
    </x:row>
    <x:row r="13">
      <x:c r="A13" s="708" t="str">
        <x:v>门槛判断</x:v>
      </x:c>
      <x:c r="B13" s="709" t="str">
        <x:f>IF(B11&gt;=B12,"达到问卷侧预设门槛","未达到问卷侧预设门槛")</x:f>
        <x:v>达到问卷侧预设门槛</x:v>
      </x:c>
      <x:c r="C13" s="708" t="str">
        <x:v>仅表示初步分享意愿</x:v>
      </x:c>
    </x:row>
    <x:row r="15">
      <x:c r="A15" s="694" t="str">
        <x:v>H6问卷侧结论</x:v>
      </x:c>
      <x:c r="B15" s="694"/>
      <x:c r="C15" s="694"/>
      <x:c r="D15" s="694"/>
      <x:c r="E15" s="694"/>
      <x:c r="F15" s="694"/>
    </x:row>
    <x:row r="16" ht="38" customHeight="1">
      <x:c r="A16" s="714" t="str">
        <x:v>H6问卷侧获得初步支持。在有效样本N=20中，18/20（90.0%）能够指出明确的报告分享对象，其中18/20（90.0%）选择导师或负责人，10/20（50.0%）选择项目成员，8/20（40.0%）选择同学或同事。这说明准备度报告具有初步的轻协作使用意愿，但目前仅为自陈意愿，不能表述为已经发生实际分享，也不能据此认定协作功能是P0需求。
H6原计划明确：问卷只能判断是否存在明确对象，后续仍需至少2人真正完成分享或行动状态操作。</x:v>
      </x:c>
      <x:c r="B16" s="714"/>
      <x:c r="C16" s="714"/>
      <x:c r="D16" s="714"/>
      <x:c r="E16" s="714"/>
      <x:c r="F16" s="714"/>
    </x:row>
    <x:row r="17" ht="38" customHeight="1">
      <x:c r="A17" s="714"/>
      <x:c r="B17" s="714"/>
      <x:c r="C17" s="714"/>
      <x:c r="D17" s="714"/>
      <x:c r="E17" s="714"/>
      <x:c r="F17" s="714"/>
    </x:row>
    <x:row r="18" ht="38" customHeight="1">
      <x:c r="A18" s="714"/>
      <x:c r="B18" s="714"/>
      <x:c r="C18" s="714"/>
      <x:c r="D18" s="714"/>
      <x:c r="E18" s="714"/>
      <x:c r="F18" s="714"/>
    </x:row>
  </x:sheetData>
  <x:mergeCells>
    <x:mergeCell ref="A15:F15"/>
    <x:mergeCell ref="A16:F18"/>
  </x:mergeCells>
  <x:pageMargins left="0.7" right="0.7" top="0.75" bottom="0.75" header="0.3" footer="0.3"/>
</x:worksheet>
</file>