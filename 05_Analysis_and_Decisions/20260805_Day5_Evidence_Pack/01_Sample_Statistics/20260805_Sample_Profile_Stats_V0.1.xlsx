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1a3168b31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统计说明" sheetId="1" r:id="R3f58a61be89a41c9"/>
    <x:sheet xmlns:r="http://schemas.openxmlformats.org/officeDocument/2006/relationships" name="02_有效样本明细" sheetId="2" r:id="R0aa3eba0487f4971"/>
    <x:sheet xmlns:r="http://schemas.openxmlformats.org/officeDocument/2006/relationships" name="03_样本结构汇总" sheetId="3" r:id="R42205d812b224c13"/>
    <x:sheet xmlns:r="http://schemas.openxmlformats.org/officeDocument/2006/relationships" name="04_图表" sheetId="4" r:id="Rfa6036edd7b643e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<x:sst xmlns:x="http://schemas.openxmlformats.org/spreadsheetml/2006/main">
  <x:si>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项目</x:t>
  </x:si>
  <x:si>
    <x:t xml:space="preserve">内容</x:t>
  </x:si>
  <x:si>
    <x:t xml:space="preserve">统计日期</x:t>
  </x:si>
  <x:si>
    <x:t xml:space="preserve">数据来源</x:t>
  </x:si>
  <x:si>
    <x:t xml:space="preserve">20260805_Formal_Samples_Working_V0.1.xlsx</x:t>
  </x:si>
  <x:si>
    <x:t xml:space="preserve">原始正式样本</x:t>
  </x:si>
  <x:si>
    <x:t xml:space="preserve">N_raw=23</x:t>
  </x:si>
  <x:si>
    <x:t xml:space="preserve">有效核心样本</x:t>
  </x:si>
  <x:si>
    <x:t xml:space="preserve">N_valid=20</x:t>
  </x:si>
  <x:si>
    <x:t xml:space="preserve">待核验样本</x:t>
  </x:si>
  <x:si>
    <x:t xml:space="preserve">N_review=3</x:t>
  </x:si>
  <x:si>
    <x:t xml:space="preserve">待核验 ID</x:t>
  </x:si>
  <x:si>
    <x:t xml:space="preserve">F-005、F-016、F-017</x:t>
  </x:si>
  <x:si>
    <x:t xml:space="preserve">无效样本</x:t>
  </x:si>
  <x:si>
    <x:t xml:space="preserve">N_invalid=0</x:t>
  </x:si>
  <x:si>
    <x:t xml:space="preserve">主分析分母</x:t>
  </x:si>
  <x:si>
    <x:t xml:space="preserve">N=20</x:t>
  </x:si>
  <x:si>
    <x:t xml:space="preserve">统计原则</x:t>
  </x:si>
  <x:si>
    <x:t xml:space="preserve">同时报告数量 n、比例 % 和分母 N</x:t>
  </x:si>
  <x:si>
    <x:t xml:space="preserve">使用限制</x:t>
  </x:si>
  <x:si>
    <x:t xml:space="preserve">便利抽样，仅用于首版问题验证，不外推整体市场</x:t>
  </x:si>
  <x:si>
    <x:t xml:space="preserve">检查项目</x:t>
  </x:si>
  <x:si>
    <x:t xml:space="preserve">结果</x:t>
  </x:si>
  <x:si>
    <x:t xml:space="preserve">Q2 数量合计</x:t>
  </x:si>
  <x:si>
    <x:t xml:space="preserve">Q3 数量合计</x:t>
  </x:si>
  <x:si>
    <x:t xml:space="preserve">Q4 是否为多选</x:t>
  </x:si>
  <x:si>
    <x:t xml:space="preserve">是</x:t>
  </x:si>
  <x:si>
    <x:t xml:space="preserve">Q4 无法识别样本数</x:t>
  </x:si>
  <x:si>
    <x:t xml:space="preserve">Q5 是否为多选</x:t>
  </x:si>
  <x:si>
    <x:t xml:space="preserve">Q5 无法识别样本数</x:t>
  </x:si>
  <x:si>
    <x:t xml:space="preserve">Q6 数量合计</x:t>
  </x:si>
  <x:si>
    <x:t xml:space="preserve">Q7 数量合计</x:t>
  </x:si>
  <x:si>
    <x:t xml:space="preserve">Q2—Q7 原始空值</x:t>
  </x:si>
  <x:si>
    <x:t xml:space="preserve">变量字典勘误版本</x:t>
  </x:si>
  <x:si>
    <x:t xml:space="preserve">V0.2.1</x:t>
  </x:si>
  <x:si>
    <x:t xml:space="preserve">sample_id</x:t>
  </x:si>
  <x:si>
    <x:t xml:space="preserve">final_status</x:t>
  </x:si>
  <x:si>
    <x:t xml:space="preserve">include_in_main_analysis</x:t>
  </x:si>
  <x:si>
    <x:t xml:space="preserve">Q2_身份</x:t>
  </x:si>
  <x:si>
    <x:t xml:space="preserve">Q3_复现经验</x:t>
  </x:si>
  <x:si>
    <x:t xml:space="preserve">Q4_技术方向</x:t>
  </x:si>
  <x:si>
    <x:t xml:space="preserve">domain_cv</x:t>
  </x:si>
  <x:si>
    <x:t xml:space="preserve">domain_multimodal</x:t>
  </x:si>
  <x:si>
    <x:t xml:space="preserve">domain_genai</x:t>
  </x:si>
  <x:si>
    <x:t xml:space="preserve">domain_nlp_llm</x:t>
  </x:si>
  <x:si>
    <x:t xml:space="preserve">domain_speech_audio</x:t>
  </x:si>
  <x:si>
    <x:t xml:space="preserve">domain_other</x:t>
  </x:si>
  <x:si>
    <x:t xml:space="preserve">Q4_selection_count</x:t>
  </x:si>
  <x:si>
    <x:t xml:space="preserve">Q5_资源条件</x:t>
  </x:si>
  <x:si>
    <x:t xml:space="preserve">resource_cpu</x:t>
  </x:si>
  <x:si>
    <x:t xml:space="preserve">resource_local_gpu</x:t>
  </x:si>
  <x:si>
    <x:t xml:space="preserve">resource_shared_gpu</x:t>
  </x:si>
  <x:si>
    <x:t xml:space="preserve">resource_compute_center</x:t>
  </x:si>
  <x:si>
    <x:t xml:space="preserve">resource_cloud_gpu</x:t>
  </x:si>
  <x:si>
    <x:t xml:space="preserve">resource_multi_gpu</x:t>
  </x:si>
  <x:si>
    <x:t xml:space="preserve">resource_restricted</x:t>
  </x:si>
  <x:si>
    <x:t xml:space="preserve">resource_other</x:t>
  </x:si>
  <x:si>
    <x:t xml:space="preserve">Q5_selection_count</x:t>
  </x:si>
  <x:si>
    <x:t xml:space="preserve">Q6_任务场景</x:t>
  </x:si>
  <x:si>
    <x:t xml:space="preserve">Q7_最近复现结果</x:t>
  </x:si>
  <x:si>
    <x:t xml:space="preserve">核对备注</x:t>
  </x:si>
  <x:si>
    <x:t xml:space="preserve">核对项目</x:t>
  </x:si>
  <x:si>
    <x:t xml:space="preserve">Q3 真实值核对</x:t>
  </x:si>
  <x:si>
    <x:t xml:space="preserve">Q5 真实值核对</x:t>
  </x:si>
  <x:si>
    <x:t xml:space="preserve">Q6 真实值核对</x:t>
  </x:si>
  <x:si>
    <x:t xml:space="preserve">Q7 真实值核对</x:t>
  </x:si>
  <x:si>
    <x:t xml:space="preserve">F-001</x:t>
  </x:si>
  <x:si>
    <x:t xml:space="preserve">AI/计算机相关方向硕士研究生</x:t>
  </x:si>
  <x:si>
    <x:t xml:space="preserve">2—3 次</x:t>
  </x:si>
  <x:si>
    <x:t xml:space="preserve">计算机视觉┋多模态</x:t>
  </x:si>
  <x:si>
    <x:t xml:space="preserve">实验室/课题组共享 GPU 服务器┋可使用多卡 GPU 服务器</x:t>
  </x:si>
  <x:si>
    <x:t xml:space="preserve">完整跑通，并达到接近目标的结果</x:t>
  </x:si>
  <x:si>
    <x:t xml:space="preserve">与正式样本表按 sample_id 匹配；筛查状态核对一致</x:t>
  </x:si>
  <x:si>
    <x:t xml:space="preserve">未找到计数</x:t>
  </x:si>
  <x:si>
    <x:t xml:space="preserve">F-002</x:t>
  </x:si>
  <x:si>
    <x:t xml:space="preserve">其他〖AI安全〗</x:t>
  </x:si>
  <x:si>
    <x:t xml:space="preserve">个人设备（单卡 GPU）</x:t>
  </x:si>
  <x:si>
    <x:t xml:space="preserve">科研或学位课题，例如论文实验、对比基线、毕业论文</x:t>
  </x:si>
  <x:si>
    <x:t xml:space="preserve">已跑通，但结果与论文或项目说明明显不一致</x:t>
  </x:si>
  <x:si>
    <x:t xml:space="preserve">重复 ID 计数</x:t>
  </x:si>
  <x:si>
    <x:t xml:space="preserve">F-003</x:t>
  </x:si>
  <x:si>
    <x:t xml:space="preserve">6 次及以上</x:t>
  </x:si>
  <x:si>
    <x:t xml:space="preserve">计算机视觉</x:t>
  </x:si>
  <x:si>
    <x:t xml:space="preserve">个人设备（单卡 GPU）┋商业云 GPU/算力租赁平台</x:t>
  </x:si>
  <x:si>
    <x:t xml:space="preserve">F-005 计数</x:t>
  </x:si>
  <x:si>
    <x:t xml:space="preserve">F-004</x:t>
  </x:si>
  <x:si>
    <x:t xml:space="preserve">实验室/课题组共享 GPU 服务器┋学校/学院计算中心服务器（包括付费租用）┋商业云 GPU/算力租赁平台</x:t>
  </x:si>
  <x:si>
    <x:t xml:space="preserve">F-016 计数</x:t>
  </x:si>
  <x:si>
    <x:t xml:space="preserve">F-006</x:t>
  </x:si>
  <x:si>
    <x:t xml:space="preserve">4—5 次</x:t>
  </x:si>
  <x:si>
    <x:t xml:space="preserve">实验室/课题组共享 GPU 服务器</x:t>
  </x:si>
  <x:si>
    <x:t xml:space="preserve">F-017 计数</x:t>
  </x:si>
  <x:si>
    <x:t xml:space="preserve">F-007</x:t>
  </x:si>
  <x:si>
    <x:t xml:space="preserve">0 次</x:t>
  </x:si>
  <x:si>
    <x:t xml:space="preserve">计算机视觉┋生成式 AI┋NLP/大模型</x:t>
  </x:si>
  <x:si>
    <x:t xml:space="preserve">个人设备（仅 CPU／无独立显卡）┋个人设备（单卡 GPU）</x:t>
  </x:si>
  <x:si>
    <x:t xml:space="preserve">只跑通了部分流程</x:t>
  </x:si>
  <x:si>
    <x:t xml:space="preserve">主分析标记为 1</x:t>
  </x:si>
  <x:si>
    <x:t xml:space="preserve">F-008</x:t>
  </x:si>
  <x:si>
    <x:t xml:space="preserve">其他</x:t>
  </x:si>
  <x:si>
    <x:t xml:space="preserve">个人设备（仅 CPU／无独立显卡）┋学校/学院计算中心服务器（包括付费租用）</x:t>
  </x:si>
  <x:si>
    <x:t xml:space="preserve">Q4 未识别计数</x:t>
  </x:si>
  <x:si>
    <x:t xml:space="preserve">F-009</x:t>
  </x:si>
  <x:si>
    <x:t xml:space="preserve">个人设备（单卡 GPU）┋实验室/课题组共享 GPU 服务器┋学校/学院计算中心服务器（包括付费租用）</x:t>
  </x:si>
  <x:si>
    <x:t xml:space="preserve">Q4 原始空值</x:t>
  </x:si>
  <x:si>
    <x:t xml:space="preserve">F-010</x:t>
  </x:si>
  <x:si>
    <x:t xml:space="preserve">学校/学院计算中心服务器（包括付费租用）┋可使用多卡 GPU 服务器</x:t>
  </x:si>
  <x:si>
    <x:t xml:space="preserve">Q5 未识别计数</x:t>
  </x:si>
  <x:si>
    <x:t xml:space="preserve">F-011</x:t>
  </x:si>
  <x:si>
    <x:t xml:space="preserve">个人设备（单卡 GPU）┋实验室/课题组共享 GPU 服务器┋商业云 GPU/算力租赁平台</x:t>
  </x:si>
  <x:si>
    <x:t xml:space="preserve">Q5 原始空值</x:t>
  </x:si>
  <x:si>
    <x:t xml:space="preserve">F-012</x:t>
  </x:si>
  <x:si>
    <x:t xml:space="preserve">AI/计算机相关方向博士研究生</x:t>
  </x:si>
  <x:si>
    <x:t xml:space="preserve">Q5 其他原始说明</x:t>
  </x:si>
  <x:si>
    <x:t xml:space="preserve">无</x:t>
  </x:si>
  <x:si>
    <x:t xml:space="preserve">F-013</x:t>
  </x:si>
  <x:si>
    <x:t xml:space="preserve">1 次</x:t>
  </x:si>
  <x:si>
    <x:t xml:space="preserve">Q5 资源选择总次数</x:t>
  </x:si>
  <x:si>
    <x:t xml:space="preserve">F-014</x:t>
  </x:si>
  <x:si>
    <x:t xml:space="preserve">AI/计算机相关方向本科生</x:t>
  </x:si>
  <x:si>
    <x:t xml:space="preserve">实验室/课题组共享 GPU 服务器┋学校/学院计算中心服务器（包括付费租用）</x:t>
  </x:si>
  <x:si>
    <x:t xml:space="preserve">课程作业或课程项目</x:t>
  </x:si>
  <x:si>
    <x:t xml:space="preserve">Q7 原始空值</x:t>
  </x:si>
  <x:si>
    <x:t xml:space="preserve">F-015</x:t>
  </x:si>
  <x:si>
    <x:t xml:space="preserve">多模态</x:t>
  </x:si>
  <x:si>
    <x:t xml:space="preserve">Q7 汇总与非空答案差</x:t>
  </x:si>
  <x:si>
    <x:t xml:space="preserve">F-018</x:t>
  </x:si>
  <x:si>
    <x:t xml:space="preserve">科研实习或工作任务</x:t>
  </x:si>
  <x:si>
    <x:t xml:space="preserve">F-019</x:t>
  </x:si>
  <x:si>
    <x:t xml:space="preserve">F-020</x:t>
  </x:si>
  <x:si>
    <x:t xml:space="preserve">F-021</x:t>
  </x:si>
  <x:si>
    <x:t xml:space="preserve">F-022</x:t>
  </x:si>
  <x:si>
    <x:t xml:space="preserve">F-023</x:t>
  </x:si>
  <x:si>
    <x:t xml:space="preserve">计算机视觉┋多模态┋生成式 AI</x:t>
  </x:si>
  <x:si>
    <x:t xml:space="preserve">个人设备（单卡 GPU）┋实验室/课题组共享 GPU 服务器┋商业云 GPU/算力租赁平台┋可使用多卡 GPU 服务器</x:t>
  </x:si>
  <x:si>
    <x:t xml:space="preserve">统计维度</x:t>
  </x:si>
  <x:si>
    <x:t xml:space="preserve">原始匹配值</x:t>
  </x:si>
  <x:si>
    <x:t xml:space="preserve">展示分类</x:t>
  </x:si>
  <x:si>
    <x:t xml:space="preserve">数量 n</x:t>
  </x:si>
  <x:si>
    <x:t xml:space="preserve">分母 N</x:t>
  </x:si>
  <x:si>
    <x:t xml:space="preserve">比例</x:t>
  </x:si>
  <x:si>
    <x:t xml:space="preserve">标准报告文本</x:t>
  </x:si>
  <x:si>
    <x:t xml:space="preserve">备注</x:t>
  </x:si>
  <x:si>
    <x:t xml:space="preserve">身份</x:t>
  </x:si>
  <x:si>
    <x:t xml:space="preserve">本科生</x:t>
  </x:si>
  <x:si>
    <x:t xml:space="preserve">有效样本的身份结构较为集中，硕士研究生占 16/20（80.0%）；科研实习生、算法工程师和全职科研人员等职业身份尚未覆盖。因此，本轮结果主要反映研究生科研复现场景，仅用于首版问题验证，不代表更广泛的 AI 工程从业者群体。</x:t>
  </x:si>
  <x:si>
    <x:t xml:space="preserve">硕士研究生</x:t>
  </x:si>
  <x:si>
    <x:t xml:space="preserve">博士研究生</x:t>
  </x:si>
  <x:si>
    <x:t xml:space="preserve">科研实习生/研究助理</x:t>
  </x:si>
  <x:si>
    <x:t xml:space="preserve">算法工程师/研究工程师</x:t>
  </x:si>
  <x:si>
    <x:t xml:space="preserve">高校教师/全职科研人员</x:t>
  </x:si>
  <x:si>
    <x:t xml:space="preserve">复现经验</x:t>
  </x:si>
  <x:si>
    <x:t xml:space="preserve">有效样本中，10/20（50.0%）具有 2—3 次独立或主导复现经验，7/20（35.0%）具有 4 次及以上经验；样本并非完全由初次复现者构成，但不同经验层的样本量较小，分层结果仅作探索性描述。</x:t>
  </x:si>
  <x:si>
    <x:t xml:space="preserve">技术方向</x:t>
  </x:si>
  <x:si>
    <x:r>
      <x:rPr>
        <x:sz val="11"/>
        <x:color theme="1"/>
        <x:rFont val="宋体"/>
      </x:rPr>
      <x:t xml:space="preserve">有效样本的技术方向明显集中于计算机视觉，</x:t>
    </x:r>
    <x:r>
      <x:rPr>
        <x:sz val="11"/>
        <x:color theme="1"/>
        <x:rFont val="Calibri"/>
      </x:rPr>
      <x:t xml:space="preserve">17/20</x:t>
    </x:r>
    <x:r>
      <x:rPr>
        <x:sz val="11"/>
        <x:color theme="1"/>
        <x:rFont val="宋体"/>
      </x:rPr>
      <x:t xml:space="preserve">（</x:t>
    </x:r>
    <x:r>
      <x:rPr>
        <x:sz val="11"/>
        <x:color theme="1"/>
        <x:rFont val="Calibri"/>
      </x:rPr>
      <x:t xml:space="preserve">85.0%</x:t>
    </x:r>
    <x:r>
      <x:rPr>
        <x:sz val="11"/>
        <x:color theme="1"/>
        <x:rFont val="宋体"/>
      </x:rPr>
      <x:t xml:space="preserve">）涉及该方向；</x:t>
    </x:r>
    <x:r>
      <x:rPr>
        <x:sz val="11"/>
        <x:color theme="1"/>
        <x:rFont val="Calibri"/>
      </x:rPr>
      <x:t xml:space="preserve">6/20</x:t>
    </x:r>
    <x:r>
      <x:rPr>
        <x:sz val="11"/>
        <x:color theme="1"/>
        <x:rFont val="宋体"/>
      </x:rPr>
      <x:t xml:space="preserve">（</x:t>
    </x:r>
    <x:r>
      <x:rPr>
        <x:sz val="11"/>
        <x:color theme="1"/>
        <x:rFont val="Calibri"/>
      </x:rPr>
      <x:t xml:space="preserve">30.0%</x:t>
    </x:r>
    <x:r>
      <x:rPr>
        <x:sz val="11"/>
        <x:color theme="1"/>
        <x:rFont val="宋体"/>
      </x:rPr>
      <x:t xml:space="preserve">）涉及多模态。语音</x:t>
    </x:r>
    <x:r>
      <x:rPr>
        <x:sz val="11"/>
        <x:color theme="1"/>
        <x:rFont val="Calibri"/>
      </x:rPr>
      <x:t xml:space="preserve">/</x:t>
    </x:r>
    <x:r>
      <x:rPr>
        <x:sz val="11"/>
        <x:color theme="1"/>
        <x:rFont val="宋体"/>
      </x:rPr>
      <x:t xml:space="preserve">音频方向本轮未覆盖。由于技术方向为多选题，各类别比例不可相加解释为整体构成比例，且本轮结果主要反映计算机视觉相关科研复现群体。</x:t>
    </x:r>
  </x:si>
  <x:si>
    <x:t xml:space="preserve">生成式 AI</x:t>
  </x:si>
  <x:si>
    <x:t xml:space="preserve">NLP/大模型</x:t>
  </x:si>
  <x:si>
    <x:t xml:space="preserve">语音/音频</x:t>
  </x:si>
  <x:si>
    <x:t xml:space="preserve">小样本，仅作探索性描述；“其他”的原始说明：F-002：AI安全；F-008：选择“其他”但未说明。</x:t>
  </x:si>
  <x:si>
    <x:t xml:space="preserve">资源条件</x:t>
  </x:si>
  <x:si>
    <x:t xml:space="preserve">本地 CPU/无独立显卡</x:t>
  </x:si>
  <x:si>
    <x:t xml:space="preserve">本地单卡 GPU</x:t>
  </x:si>
  <x:si>
    <x:r>
      <x:rPr>
        <x:sz val="11"/>
        <x:color theme="1"/>
        <x:rFont val="宋体"/>
      </x:rPr>
      <x:t xml:space="preserve">样本资源以实验室</x:t>
    </x:r>
    <x:r>
      <x:rPr>
        <x:sz val="11"/>
        <x:color theme="1"/>
        <x:rFont val="Calibri"/>
      </x:rPr>
      <x:t xml:space="preserve">/</x:t>
    </x:r>
    <x:r>
      <x:rPr>
        <x:sz val="11"/>
        <x:color theme="1"/>
        <x:rFont val="宋体"/>
      </x:rPr>
      <x:t xml:space="preserve">课题组共享</x:t>
    </x:r>
    <x:r>
      <x:rPr>
        <x:sz val="11"/>
        <x:color theme="1"/>
        <x:rFont val="Calibri"/>
      </x:rPr>
      <x:t xml:space="preserve"> GPU </x:t>
    </x:r>
    <x:r>
      <x:rPr>
        <x:sz val="11"/>
        <x:color theme="1"/>
        <x:rFont val="宋体"/>
      </x:rPr>
      <x:t xml:space="preserve">为主；同一用户可能同时拥有个人设备、共享服务器、计算中心或云算力，因此各类别之间不是互斥关系。第</x:t>
    </x:r>
    <x:r>
      <x:rPr>
        <x:sz val="11"/>
        <x:color theme="1"/>
        <x:rFont val="Calibri"/>
      </x:rPr>
      <x:t xml:space="preserve"> 5 </x:t>
    </x:r>
    <x:r>
      <x:rPr>
        <x:sz val="11"/>
        <x:color theme="1"/>
        <x:rFont val="宋体"/>
      </x:rPr>
      <x:t xml:space="preserve">天计划要求资源条件采用频数表并检查其是否与目标</x:t>
    </x:r>
    <x:r>
      <x:rPr>
        <x:sz val="11"/>
        <x:color theme="1"/>
        <x:rFont val="Calibri"/>
      </x:rPr>
      <x:t xml:space="preserve"> Persona </x:t>
    </x:r>
    <x:r>
      <x:rPr>
        <x:sz val="11"/>
        <x:color theme="1"/>
        <x:rFont val="宋体"/>
      </x:rPr>
      <x:t xml:space="preserve">一致。</x:t>
    </x:r>
  </x:si>
  <x:si>
    <x:t xml:space="preserve">学校/学院计算中心服务器</x:t>
  </x:si>
  <x:si>
    <x:t xml:space="preserve">商业云 GPU/算力租赁平台</x:t>
  </x:si>
  <x:si>
    <x:t xml:space="preserve">多卡 GPU 服务器</x:t>
  </x:si>
  <x:si>
    <x:t xml:space="preserve">环境或权限受限</x:t>
  </x:si>
  <x:si>
    <x:t xml:space="preserve">小样本，仅作探索性描述；“其他”的原始说明：无。</x:t>
  </x:si>
  <x:si>
    <x:t xml:space="preserve">任务场景</x:t>
  </x:si>
  <x:si>
    <x:t xml:space="preserve">科研或学位课题</x:t>
  </x:si>
  <x:si>
    <x:r>
      <x:rPr>
        <x:sz val="11"/>
        <x:color theme="1"/>
        <x:rFont val="宋体"/>
      </x:rPr>
      <x:t xml:space="preserve">有效样本主要来自科研或学位课题场景，课程项目和科研实习</x:t>
    </x:r>
    <x:r>
      <x:rPr>
        <x:sz val="11"/>
        <x:color theme="1"/>
        <x:rFont val="Calibri"/>
      </x:rPr>
      <x:t xml:space="preserve">/</x:t>
    </x:r>
    <x:r>
      <x:rPr>
        <x:sz val="11"/>
        <x:color theme="1"/>
        <x:rFont val="宋体"/>
      </x:rPr>
      <x:t xml:space="preserve">工作任务覆盖较少，个人学习、竞赛或求职项目本轮未覆盖。因此，后续发现主要适用于研究生科研复现场景，跨场景适用性仍需补充验证。</x:t>
    </x:r>
  </x:si>
  <x:si>
    <x:t xml:space="preserve">个人技术学习或能力提升</x:t>
  </x:si>
  <x:si>
    <x:t xml:space="preserve">竞赛或求职项目</x:t>
  </x:si>
  <x:si>
    <x:t xml:space="preserve">本轮未覆盖；“其他”的原始说明：无</x:t>
  </x:si>
  <x:si>
    <x:t xml:space="preserve">最近复现结果</x:t>
  </x:si>
  <x:si>
    <x:t xml:space="preserve">完整跑通并接近目标</x:t>
  </x:si>
  <x:si>
    <x:t xml:space="preserve">跑通但结果明显不一致</x:t>
  </x:si>
  <x:si>
    <x:t xml:space="preserve">只跑通部分流程</x:t>
  </x:si>
  <x:si>
    <x:t xml:space="preserve">因遇到阻塞而暂停或放弃</x:t>
  </x:si>
  <x:si>
    <x:t xml:space="preserve">暂停或放弃</x:t>
  </x:si>
  <x:si>
    <x:t xml:space="preserve">目前仍在进行中</x:t>
  </x:si>
  <x:si>
    <x:t xml:space="preserve">仍在进行</x:t>
  </x:si>
  <x:si>
    <x:t xml:space="preserve">本轮主分析包含20份有效核心样本。样本主要集中于硕士研究生、计算机视觉方向、科研或学位课题以及共享GPU资源场景。结果用于首版科研复现助手的问题验证，不用于外推整体AI开发者市场。</x:t>
  </x:si>
  <x:si>
    <x:t xml:space="preserve">注：本题为多选题，各类别数量和比例不可相加解释为样本构成。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</x:si>
</x:sst>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%"/>
    <x:numFmt numFmtId="177" formatCode="yyyy\-mm\-dd"/>
  </x:numFmts>
  <x:fonts count="32">
    <x:font>
      <x:sz val="11"/>
      <x:name val="Carlito"/>
    </x:font>
    <x:font>
      <x:b/>
      <x:sz val="12"/>
      <x:color rgb="FF17365D"/>
      <x:name val="Carlito"/>
    </x:font>
    <x:font>
      <x:i/>
      <x:sz val="10"/>
      <x:color rgb="FF44546A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b/>
      <x:sz val="11"/>
      <x:color rgb="FF203864"/>
      <x:name val="Aptos"/>
    </x:font>
    <x:font>
      <x:sz val="11"/>
      <x:color rgb="FF262626"/>
      <x:name val="Aptos"/>
    </x:font>
    <x:font>
      <x:b/>
      <x:sz val="11"/>
      <x:color rgb="FF1F1F1F"/>
      <x:name val="Aptos"/>
    </x:font>
    <x:font>
      <x:b/>
      <x:sz val="11"/>
      <x:color rgb="FF17365D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sz val="11"/>
      <x:color theme="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1"/>
      <x:color rgb="FF274E13"/>
      <x:name val="Carlito"/>
    </x:font>
  </x:fonts>
  <x:fills count="41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6FA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D9E3F0"/>
      </x:patternFill>
    </x:fill>
    <x:fill>
      <x:patternFill patternType="solid">
        <x:fgColor rgb="FF17365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AD3"/>
      </x:patternFill>
    </x:fill>
    <x:fill>
      <x:patternFill patternType="solid">
        <x:fgColor rgb="FFEAF4E4"/>
      </x:patternFill>
    </x:fill>
  </x:fills>
  <x:borders count="36">
    <x:border/>
    <x:border>
      <x:left style="thin">
        <x:color rgb="FF9CC2E5"/>
      </x:left>
      <x:top style="thin">
        <x:color rgb="FF9CC2E5"/>
      </x:top>
    </x:border>
    <x:border>
      <x:top style="thin">
        <x:color rgb="FF9CC2E5"/>
      </x:top>
    </x:border>
    <x:border>
      <x:right style="thin">
        <x:color rgb="FF9CC2E5"/>
      </x:right>
      <x:top style="thin">
        <x:color rgb="FF9CC2E5"/>
      </x:top>
    </x:border>
    <x:border>
      <x:left style="thin">
        <x:color rgb="FF9CC2E5"/>
      </x:left>
    </x:border>
    <x:border>
      <x:right style="thin">
        <x:color rgb="FF9CC2E5"/>
      </x:right>
    </x:border>
    <x:border>
      <x:left style="thin">
        <x:color rgb="FF9CC2E5"/>
      </x:left>
      <x:bottom style="thin">
        <x:color rgb="FF9CC2E5"/>
      </x:bottom>
    </x:border>
    <x:border>
      <x:bottom style="thin">
        <x:color rgb="FF9CC2E5"/>
      </x:bottom>
    </x:border>
    <x:border>
      <x:right style="thin">
        <x:color rgb="FF9CC2E5"/>
      </x:right>
      <x:bottom style="thin">
        <x:color rgb="FF9CC2E5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top style="thin">
        <x:color rgb="FFB4C6E7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right style="thin">
        <x:color rgb="FFA6B8CE"/>
      </x:right>
      <x:bottom style="thin">
        <x:color rgb="FFD9E2F3"/>
      </x:bottom>
    </x:border>
    <x:border>
      <x:bottom style="thin">
        <x:color rgb="FFE7EAF0"/>
      </x:bottom>
    </x:border>
    <x:border>
      <x:right style="thin">
        <x:color rgb="FFA6B8CE"/>
      </x:right>
      <x:top style="thin">
        <x:color rgb="FFD9E2F3"/>
      </x:top>
      <x:bottom style="thin">
        <x:color rgb="FFD9E2F3"/>
      </x:bottom>
    </x:border>
    <x:border>
      <x:top style="thin">
        <x:color rgb="FFE7EAF0"/>
      </x:top>
      <x:bottom style="thin">
        <x:color rgb="FFE7EAF0"/>
      </x:bottom>
    </x:border>
    <x:border>
      <x:right style="thin">
        <x:color rgb="FFA6B8CE"/>
      </x:right>
      <x:top style="thin">
        <x:color rgb="FFD9E2F3"/>
      </x:top>
    </x:border>
    <x:border>
      <x:top style="thin">
        <x:color rgb="FFE7EAF0"/>
      </x:top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50">
    <x:xf numFmtId="0" fontId="12" fillId="0" borderId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8" borderId="27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28" applyNumberFormat="0" applyFill="0" applyAlignment="0" applyProtection="0">
      <x:alignment vertical="center"/>
    </x:xf>
    <x:xf numFmtId="0" fontId="19" fillId="0" borderId="28" applyNumberFormat="0" applyFill="0" applyAlignment="0" applyProtection="0">
      <x:alignment vertical="center"/>
    </x:xf>
    <x:xf numFmtId="0" fontId="20" fillId="0" borderId="29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9" borderId="30" applyNumberFormat="0" applyAlignment="0" applyProtection="0">
      <x:alignment vertical="center"/>
    </x:xf>
    <x:xf numFmtId="0" fontId="22" fillId="10" borderId="31" applyNumberFormat="0" applyAlignment="0" applyProtection="0">
      <x:alignment vertical="center"/>
    </x:xf>
    <x:xf numFmtId="0" fontId="23" fillId="10" borderId="30" applyNumberFormat="0" applyAlignment="0" applyProtection="0">
      <x:alignment vertical="center"/>
    </x:xf>
    <x:xf numFmtId="0" fontId="24" fillId="11" borderId="32" applyNumberFormat="0" applyAlignment="0" applyProtection="0">
      <x:alignment vertical="center"/>
    </x:xf>
    <x:xf numFmtId="0" fontId="25" fillId="0" borderId="33" applyNumberFormat="0" applyFill="0" applyAlignment="0" applyProtection="0">
      <x:alignment vertical="center"/>
    </x:xf>
    <x:xf numFmtId="0" fontId="26" fillId="0" borderId="34" applyNumberFormat="0" applyFill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9" fillId="14" borderId="0" applyNumberFormat="0" applyBorder="0" applyAlignment="0" applyProtection="0">
      <x:alignment vertical="center"/>
    </x:xf>
    <x:xf numFmtId="0" fontId="30" fillId="15" borderId="0" applyNumberFormat="0" applyBorder="0" applyAlignment="0" applyProtection="0">
      <x:alignment vertical="center"/>
    </x:xf>
    <x:xf numFmtId="0" fontId="12" fillId="16" borderId="0" applyNumberFormat="0" applyBorder="0" applyAlignment="0" applyProtection="0">
      <x:alignment vertical="center"/>
    </x:xf>
    <x:xf numFmtId="0" fontId="12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12" fillId="20" borderId="0" applyNumberFormat="0" applyBorder="0" applyAlignment="0" applyProtection="0">
      <x:alignment vertical="center"/>
    </x:xf>
    <x:xf numFmtId="0" fontId="12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12" fillId="24" borderId="0" applyNumberFormat="0" applyBorder="0" applyAlignment="0" applyProtection="0">
      <x:alignment vertical="center"/>
    </x:xf>
    <x:xf numFmtId="0" fontId="12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12" fillId="28" borderId="0" applyNumberFormat="0" applyBorder="0" applyAlignment="0" applyProtection="0">
      <x:alignment vertical="center"/>
    </x:xf>
    <x:xf numFmtId="0" fontId="12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12" fillId="32" borderId="0" applyNumberFormat="0" applyBorder="0" applyAlignment="0" applyProtection="0">
      <x:alignment vertical="center"/>
    </x:xf>
    <x:xf numFmtId="0" fontId="12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30" fillId="35" borderId="0" applyNumberFormat="0" applyBorder="0" applyAlignment="0" applyProtection="0">
      <x:alignment vertical="center"/>
    </x:xf>
    <x:xf numFmtId="0" fontId="12" fillId="36" borderId="0" applyNumberFormat="0" applyBorder="0" applyAlignment="0" applyProtection="0">
      <x:alignment vertical="center"/>
    </x:xf>
    <x:xf numFmtId="0" fontId="12" fillId="37" borderId="0" applyNumberFormat="0" applyBorder="0" applyAlignment="0" applyProtection="0">
      <x:alignment vertical="center"/>
    </x:xf>
    <x:xf numFmtId="0" fontId="30" fillId="38" borderId="0" applyNumberFormat="0" applyBorder="0" applyAlignment="0" applyProtection="0">
      <x:alignment vertical="center"/>
    </x:xf>
    <x:xf numFmtId="0" fontId="0" fillId="0" borderId="0"/>
  </x:cellStyleXfs>
  <x:cellXfs count="75">
    <x:xf numFmtId="0" fontId="0" fillId="0" borderId="0" xfId="49"/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1" fillId="2" borderId="4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Alignment="1">
      <x:alignment horizontal="left" vertical="center" wrapText="1"/>
    </x:xf>
    <x:xf numFmtId="0" fontId="1" fillId="2" borderId="5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horizontal="left" vertical="center" wrapText="1"/>
    </x:xf>
    <x:xf numFmtId="0" fontId="1" fillId="2" borderId="7" xfId="0" applyNumberFormat="1" applyFont="1" applyFill="1" applyBorder="1" applyAlignment="1">
      <x:alignment horizontal="left" vertical="center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2" fillId="3" borderId="9" xfId="0" applyNumberFormat="1" applyFont="1" applyFill="1" applyBorder="1" applyAlignment="1">
      <x:alignment horizontal="left" vertical="center" wrapText="1"/>
    </x:xf>
    <x:xf numFmtId="0" fontId="2" fillId="3" borderId="10" xfId="0" applyNumberFormat="1" applyFont="1" applyFill="1" applyBorder="1" applyAlignment="1">
      <x:alignment horizontal="left" vertical="center" wrapText="1"/>
    </x:xf>
    <x:xf numFmtId="0" fontId="2" fillId="3" borderId="11" xfId="0" applyNumberFormat="1" applyFont="1" applyFill="1" applyBorder="1" applyAlignment="1">
      <x:alignment horizontal="left" vertical="center" wrapText="1"/>
    </x:xf>
    <x:xf numFmtId="0" fontId="2" fillId="3" borderId="12" xfId="0" applyNumberFormat="1" applyFont="1" applyFill="1" applyBorder="1" applyAlignment="1">
      <x:alignment horizontal="left" vertical="center" wrapText="1"/>
    </x:xf>
    <x:xf numFmtId="0" fontId="2" fillId="3" borderId="13" xfId="0" applyNumberFormat="1" applyFont="1" applyFill="1" applyBorder="1" applyAlignment="1">
      <x:alignment horizontal="left" vertical="center" wrapText="1"/>
    </x:xf>
    <x:xf numFmtId="0" fontId="2" fillId="3" borderId="14" xfId="0" applyNumberFormat="1" applyFont="1" applyFill="1" applyBorder="1" applyAlignment="1">
      <x:alignment horizontal="left" vertical="center" wrapText="1"/>
    </x:xf>
    <x:xf numFmtId="0" fontId="3" fillId="4" borderId="0" xfId="49" applyNumberFormat="1" applyFont="1" applyFill="1" applyBorder="1" applyAlignment="1">
      <x:alignment horizontal="center" vertical="center" wrapText="1"/>
    </x:xf>
    <x:xf numFmtId="0" fontId="4" fillId="4" borderId="0" xfId="49" applyNumberFormat="1" applyFont="1" applyFill="1" applyBorder="1" applyAlignment="1">
      <x:alignment horizontal="center" vertical="center"/>
    </x:xf>
    <x:xf numFmtId="0" fontId="5" fillId="5" borderId="0" xfId="49" applyNumberFormat="1" applyFont="1" applyFill="1" applyBorder="1" applyAlignment="1">
      <x:alignment vertical="center" wrapText="1"/>
    </x:xf>
    <x:xf numFmtId="0" fontId="6" fillId="0" borderId="0" xfId="49" applyNumberFormat="1" applyFont="1" applyFill="1" applyBorder="1" applyAlignment="1">
      <x:alignment vertical="center" wrapText="1"/>
    </x:xf>
    <x:xf numFmtId="3" fontId="7" fillId="0" borderId="0" xfId="49" applyNumberFormat="1" applyFont="1" applyFill="1" applyBorder="1" applyAlignment="1">
      <x:alignment horizontal="center" vertical="center" wrapText="1"/>
    </x:xf>
    <x:xf numFmtId="1" fontId="7" fillId="0" borderId="0" xfId="49" applyNumberFormat="1" applyFont="1" applyFill="1" applyBorder="1" applyAlignment="1">
      <x:alignment horizontal="center" vertical="center" wrapText="1"/>
    </x:xf>
    <x:xf numFmtId="1" fontId="0" fillId="0" borderId="0" xfId="49" applyNumberFormat="1" applyFont="1" applyFill="1" applyBorder="1" applyAlignment="1">
      <x:alignment vertical="center" wrapText="1"/>
    </x:xf>
    <x:xf numFmtId="176" fontId="0" fillId="0" borderId="0" xfId="49" applyNumberFormat="1" applyFont="1" applyFill="1" applyBorder="1" applyAlignment="1">
      <x:alignment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2" borderId="15" xfId="49" applyNumberFormat="1" applyFont="1" applyFill="1" applyBorder="1" applyAlignment="1">
      <x:alignment horizontal="center" vertical="top" wrapText="1"/>
    </x:xf>
    <x:xf numFmtId="0" fontId="0" fillId="2" borderId="0" xfId="49" applyNumberFormat="1" applyFont="1" applyFill="1" applyAlignment="1">
      <x:alignment horizontal="center" vertical="top" wrapText="1"/>
    </x:xf>
    <x:xf numFmtId="0" fontId="8" fillId="6" borderId="16" xfId="49" applyNumberFormat="1" applyFont="1" applyFill="1" applyBorder="1" applyAlignment="1">
      <x:alignment vertical="center" wrapText="1"/>
    </x:xf>
    <x:xf numFmtId="0" fontId="0" fillId="0" borderId="16" xfId="49" applyNumberFormat="1" applyFont="1" applyFill="1" applyBorder="1" applyAlignment="1">
      <x:alignment vertical="center" wrapText="1"/>
    </x:xf>
    <x:xf numFmtId="0" fontId="9" fillId="0" borderId="16" xfId="49" applyNumberFormat="1" applyFont="1" applyFill="1" applyBorder="1" applyAlignment="1">
      <x:alignment vertical="center" wrapText="1"/>
    </x:xf>
    <x:xf numFmtId="1" fontId="10" fillId="0" borderId="16" xfId="49" applyNumberFormat="1" applyFont="1" applyFill="1" applyBorder="1" applyAlignment="1">
      <x:alignment vertical="center" wrapText="1"/>
    </x:xf>
    <x:xf numFmtId="1" fontId="0" fillId="0" borderId="16" xfId="49" applyNumberFormat="1" applyFont="1" applyFill="1" applyBorder="1" applyAlignment="1">
      <x:alignment vertical="center" wrapText="1"/>
    </x:xf>
    <x:xf numFmtId="176" fontId="0" fillId="0" borderId="16" xfId="49" applyNumberFormat="1" applyFont="1" applyFill="1" applyBorder="1" applyAlignment="1">
      <x:alignment vertical="center" wrapText="1"/>
    </x:xf>
    <x:xf numFmtId="0" fontId="0" fillId="0" borderId="17" xfId="49" applyNumberFormat="1" applyFont="1" applyFill="1" applyBorder="1" applyAlignment="1">
      <x:alignment vertical="center" wrapText="1"/>
    </x:xf>
    <x:xf numFmtId="0" fontId="0" fillId="0" borderId="10" xfId="49" applyNumberFormat="1" applyFont="1" applyFill="1" applyBorder="1" applyAlignment="1">
      <x:alignment horizontal="center" vertical="top" wrapText="1"/>
    </x:xf>
    <x:xf numFmtId="0" fontId="0" fillId="0" borderId="0" xfId="49" applyNumberFormat="1" applyFont="1" applyFill="1" applyAlignment="1">
      <x:alignment horizontal="center" vertical="top" wrapText="1"/>
    </x:xf>
    <x:xf numFmtId="0" fontId="0" fillId="0" borderId="17" xfId="49" applyNumberFormat="1" applyFont="1" applyFill="1" applyBorder="1" applyAlignment="1">
      <x:alignment vertical="top" wrapText="1"/>
    </x:xf>
    <x:xf numFmtId="0" fontId="8" fillId="6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1" fontId="10" fillId="0" borderId="16" xfId="0" applyNumberFormat="1" applyFont="1" applyFill="1" applyBorder="1" applyAlignment="1">
      <x:alignment vertical="center" wrapText="1"/>
    </x:xf>
    <x:xf numFmtId="1" fontId="0" fillId="0" borderId="16" xfId="0" applyNumberFormat="1" applyFont="1" applyFill="1" applyBorder="1" applyAlignment="1">
      <x:alignment vertical="center" wrapText="1"/>
    </x:xf>
    <x:xf numFmtId="176" fontId="0" fillId="0" borderId="16" xfId="0" applyNumberFormat="1" applyFont="1" applyFill="1" applyBorder="1" applyAlignment="1">
      <x:alignment vertical="center" wrapText="1"/>
    </x:xf>
    <x:xf numFmtId="0" fontId="11" fillId="0" borderId="0" xfId="0" applyFont="1" applyAlignment="1">
      <x:alignment horizontal="center" vertical="center" wrapText="1"/>
    </x:xf>
    <x:xf numFmtId="0" fontId="12" fillId="0" borderId="0" xfId="0" applyAlignment="1">
      <x:alignment horizontal="center" vertical="center" wrapText="1"/>
    </x:xf>
    <x:xf numFmtId="3" fontId="0" fillId="0" borderId="0" xfId="49" applyNumberFormat="1" applyFont="1" applyFill="1" applyBorder="1"/>
    <x:xf numFmtId="176" fontId="0" fillId="0" borderId="0" xfId="49" applyNumberFormat="1" applyFont="1" applyFill="1" applyBorder="1"/>
    <x:xf numFmtId="0" fontId="4" fillId="4" borderId="16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1" fontId="0" fillId="0" borderId="0" xfId="0" applyNumberFormat="1" applyFont="1" applyFill="1" applyBorder="1" applyAlignment="1"/>
    <x:xf numFmtId="0" fontId="8" fillId="6" borderId="16" xfId="0" applyNumberFormat="1" applyFont="1" applyFill="1" applyBorder="1" applyAlignment="1">
      <x:alignment vertical="center"/>
    </x:xf>
    <x:xf numFmtId="1" fontId="10" fillId="0" borderId="16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176" fontId="10" fillId="0" borderId="16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3" fillId="7" borderId="18" xfId="49" applyNumberFormat="1" applyFont="1" applyFill="1" applyBorder="1" applyAlignment="1">
      <x:alignment horizontal="center" vertical="center"/>
    </x:xf>
    <x:xf numFmtId="0" fontId="3" fillId="7" borderId="19" xfId="49" applyNumberFormat="1" applyFont="1" applyFill="1" applyBorder="1" applyAlignment="1">
      <x:alignment horizontal="center" vertical="center"/>
    </x:xf>
    <x:xf numFmtId="0" fontId="5" fillId="5" borderId="20" xfId="49" applyNumberFormat="1" applyFont="1" applyFill="1" applyBorder="1" applyAlignment="1">
      <x:alignment vertical="center"/>
    </x:xf>
    <x:xf numFmtId="177" fontId="6" fillId="0" borderId="21" xfId="49" applyNumberFormat="1" applyFont="1" applyFill="1" applyBorder="1" applyAlignment="1">
      <x:alignment horizontal="center" vertical="center" wrapText="1"/>
    </x:xf>
    <x:xf numFmtId="0" fontId="5" fillId="5" borderId="22" xfId="49" applyNumberFormat="1" applyFont="1" applyFill="1" applyBorder="1" applyAlignment="1">
      <x:alignment vertical="center"/>
    </x:xf>
    <x:xf numFmtId="0" fontId="6" fillId="0" borderId="23" xfId="49" applyNumberFormat="1" applyFont="1" applyFill="1" applyBorder="1" applyAlignment="1">
      <x:alignment vertical="center" wrapText="1"/>
    </x:xf>
    <x:xf numFmtId="0" fontId="5" fillId="5" borderId="24" xfId="49" applyNumberFormat="1" applyFont="1" applyFill="1" applyBorder="1" applyAlignment="1">
      <x:alignment vertical="center"/>
    </x:xf>
    <x:xf numFmtId="0" fontId="6" fillId="0" borderId="25" xfId="49" applyNumberFormat="1" applyFont="1" applyFill="1" applyBorder="1" applyAlignment="1">
      <x:alignment vertical="center" wrapText="1"/>
    </x:xf>
    <x:xf numFmtId="0" fontId="9" fillId="2" borderId="26" xfId="49" applyNumberFormat="1" applyFont="1" applyFill="1" applyBorder="1" applyAlignment="1">
      <x:alignment vertical="top" wrapText="1"/>
    </x:xf>
    <x:xf numFmtId="0" fontId="0" fillId="2" borderId="26" xfId="49" applyNumberFormat="1" applyFont="1" applyFill="1" applyBorder="1" applyAlignment="1">
      <x:alignment vertical="top" wrapText="1"/>
    </x:xf>
    <x:xf numFmtId="0" fontId="0" fillId="39" borderId="0" xfId="0" applyNumberFormat="1" applyFont="1" applyFill="1" applyBorder="1"/>
    <x:xf numFmtId="0" fontId="31" fillId="39" borderId="0" xfId="0" applyNumberFormat="1" applyFont="1" applyFill="1" applyBorder="1"/>
    <x:xf numFmtId="0" fontId="31" fillId="39" borderId="0" xfId="0" applyNumberFormat="1" applyFont="1" applyFill="1" applyBorder="1" applyAlignment="1">
      <x:alignment vertical="center"/>
    </x:xf>
    <x:xf numFmtId="0" fontId="0" fillId="40" borderId="0" xfId="0" applyNumberFormat="1" applyFont="1" applyFill="1" applyBorder="1"/>
    <x:xf numFmtId="0" fontId="31" fillId="40" borderId="0" xfId="0" applyNumberFormat="1" applyFont="1" applyFill="1" applyBorder="1"/>
    <x:xf numFmtId="0" fontId="31" fillId="40" borderId="0" xfId="0" applyNumberFormat="1" applyFont="1" applyFill="1" applyBorder="1" applyAlignment="1">
      <x:alignment horizontal="center"/>
    </x:xf>
    <x:xf numFmtId="0" fontId="31" fillId="40" borderId="0" xfId="0" applyNumberFormat="1" applyFont="1" applyFill="1" applyBorder="1" applyAlignment="1">
      <x:alignment horizontal="center" vertical="center"/>
    </x:xf>
    <x:xf numFmtId="0" fontId="31" fillId="39" borderId="35" xfId="0" applyNumberFormat="1" applyFont="1" applyFill="1" applyBorder="1" applyAlignment="1">
      <x:alignment vertical="center"/>
    </x:xf>
    <x:xf numFmtId="0" fontId="31" fillId="40" borderId="35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b11ccd9394430" /><Relationship Type="http://schemas.openxmlformats.org/officeDocument/2006/relationships/theme" Target="/xl/theme/theme1.xml" Id="R31f995109737483c" /><Relationship Type="http://schemas.openxmlformats.org/officeDocument/2006/relationships/sheetMetadata" Target="/xl/metadata1.xml" Id="R3f5c5008389247e6" /><Relationship Type="http://schemas.openxmlformats.org/officeDocument/2006/relationships/sharedStrings" Target="/xl/sharedStrings.xml" Id="Ra7e30e819b974114" /><Relationship Type="http://schemas.openxmlformats.org/officeDocument/2006/relationships/worksheet" Target="/xl/worksheets/sheet1.xml" Id="R3f58a61be89a41c9" /><Relationship Type="http://schemas.openxmlformats.org/officeDocument/2006/relationships/worksheet" Target="/xl/worksheets/sheet2.xml" Id="R0aa3eba0487f4971" /><Relationship Type="http://schemas.openxmlformats.org/officeDocument/2006/relationships/worksheet" Target="/xl/worksheets/sheet3.xml" Id="R42205d812b224c13" /><Relationship Type="http://schemas.openxmlformats.org/officeDocument/2006/relationships/worksheet" Target="/xl/worksheets/sheet4.xml" Id="Rfa6036edd7b643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5ca178df4d46cb" /><Relationship Type="http://schemas.openxmlformats.org/officeDocument/2006/relationships/chart" Target="/xl/drawings/charts/chart2.xml" Id="R9b394df6cf0d492c" /><Relationship Type="http://schemas.openxmlformats.org/officeDocument/2006/relationships/chart" Target="/xl/drawings/charts/chart3.xml" Id="Ref4cd2c471f944f3" /><Relationship Type="http://schemas.openxmlformats.org/officeDocument/2006/relationships/chart" Target="/xl/drawings/charts/chart4.xml" Id="R8134a4d474834d64" /><Relationship Type="http://schemas.openxmlformats.org/officeDocument/2006/relationships/chart" Target="/xl/drawings/charts/chart5.xml" Id="R5d90c5e986604dae" /><Relationship Type="http://schemas.openxmlformats.org/officeDocument/2006/relationships/chart" Target="/xl/drawings/charts/chart6.xml" Id="Rc9833c63887646dd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样本身份分布（有效样本 N=20）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"数量 n"</c:f>
              <c:strCache>
                <c:ptCount val="1"/>
                <c:pt idx="0">
                  <c:v>数量 n</c:v>
                </c:pt>
              </c:strCache>
            </c:strRef>
          </c:tx>
          <c:spPr>
            <a:solidFill xmlns:a="http://schemas.openxmlformats.org/drawingml/2006/main">
              <a:srgbClr val="1F4E78"/>
            </a:solidFill>
          </c:spPr>
          <c:dLbls>
            <c:numFmt formatCode="General" sourceLinked="1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{"其他","高校教师/全职科研人员","算法工程师/研究工程师","科研实习生/研究助理","博士研究生","硕士研究生","本科生"}</c:f>
              <c:strCache>
                <c:ptCount val="7"/>
                <c:pt idx="0">
                  <c:v>其他</c:v>
                </c:pt>
                <c:pt idx="1">
                  <c:v>高校教师/全职科研人员</c:v>
                </c:pt>
                <c:pt idx="2">
                  <c:v>算法工程师/研究工程师</c:v>
                </c:pt>
                <c:pt idx="3">
                  <c:v>科研实习生/研究助理</c:v>
                </c:pt>
                <c:pt idx="4">
                  <c:v>博士研究生</c:v>
                </c:pt>
                <c:pt idx="5">
                  <c:v>硕士研究生</c:v>
                </c:pt>
                <c:pt idx="6">
                  <c:v>本科生</c:v>
                </c:pt>
              </c:strCache>
            </c:strRef>
          </c:cat>
          <c:val>
            <c:numRef>
              <c:f>{0,0,0,0,2,16,2}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16</c:v>
                </c:pt>
                <c:pt idx="6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复现经验分布（有效样本 N=20）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"数量 n"</c:f>
              <c:strCache>
                <c:ptCount val="1"/>
                <c:pt idx="0">
                  <c:v>数量 n</c:v>
                </c:pt>
              </c:strCache>
            </c:strRef>
          </c:tx>
          <c:spPr>
            <a:solidFill xmlns:a="http://schemas.openxmlformats.org/drawingml/2006/main">
              <a:srgbClr val="1F4E78"/>
            </a:solidFill>
          </c:spPr>
          <c:dLbls>
            <c:numFmt formatCode="General" sourceLinked="1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{"6 次及以上","4—5 次","2—3 次","1 次","0 次"}</c:f>
              <c:strCache>
                <c:ptCount val="5"/>
                <c:pt idx="0">
                  <c:v>6 次及以上</c:v>
                </c:pt>
                <c:pt idx="1">
                  <c:v>4—5 次</c:v>
                </c:pt>
                <c:pt idx="2">
                  <c:v>2—3 次</c:v>
                </c:pt>
                <c:pt idx="3">
                  <c:v>1 次</c:v>
                </c:pt>
                <c:pt idx="4">
                  <c:v>0 次</c:v>
                </c:pt>
              </c:strCache>
            </c:strRef>
          </c:cat>
          <c:val>
            <c:numRef>
              <c:f>{6,1,10,2,1}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10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技术方向分布（有效样本 N=20，多选）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"数量 n"</c:f>
              <c:strCache>
                <c:ptCount val="1"/>
                <c:pt idx="0">
                  <c:v>数量 n</c:v>
                </c:pt>
              </c:strCache>
            </c:strRef>
          </c:tx>
          <c:spPr>
            <a:solidFill xmlns:a="http://schemas.openxmlformats.org/drawingml/2006/main">
              <a:srgbClr val="1F4E78"/>
            </a:solidFill>
          </c:spPr>
          <c:dLbls>
            <c:numFmt formatCode="General" sourceLinked="1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{"语音/音频","NLP/大模型","其他","生成式 AI","多模态","计算机视觉"}</c:f>
              <c:strCache>
                <c:ptCount val="6"/>
                <c:pt idx="0">
                  <c:v>语音/音频</c:v>
                </c:pt>
                <c:pt idx="1">
                  <c:v>NLP/大模型</c:v>
                </c:pt>
                <c:pt idx="2">
                  <c:v>其他</c:v>
                </c:pt>
                <c:pt idx="3">
                  <c:v>生成式 AI</c:v>
                </c:pt>
                <c:pt idx="4">
                  <c:v>多模态</c:v>
                </c:pt>
                <c:pt idx="5">
                  <c:v>计算机视觉</c:v>
                </c:pt>
              </c:strCache>
            </c:strRef>
          </c:cat>
          <c:val>
            <c:numRef>
              <c:f>{0,1,2,2,6,17}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可使用的计算与环境资源（有效样本 N=20，多选）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"数量 n"</c:f>
              <c:strCache>
                <c:ptCount val="1"/>
                <c:pt idx="0">
                  <c:v>数量 n</c:v>
                </c:pt>
              </c:strCache>
            </c:strRef>
          </c:tx>
          <c:spPr>
            <a:solidFill xmlns:a="http://schemas.openxmlformats.org/drawingml/2006/main">
              <a:srgbClr val="1F4E78"/>
            </a:solidFill>
          </c:spPr>
          <c:dLbls>
            <c:numFmt formatCode="General" sourceLinked="1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{"其他","环境或权限受限","多卡 GPU 服务器","本地 CPU/无独立显卡","商业云 GPU/算力租赁平台","本地单卡 GPU","学校/学院计算中心服务器","实验室/课题组共享 GPU 服务器"}</c:f>
              <c:strCache>
                <c:ptCount val="8"/>
                <c:pt idx="0">
                  <c:v>其他</c:v>
                </c:pt>
                <c:pt idx="1">
                  <c:v>环境或权限受限</c:v>
                </c:pt>
                <c:pt idx="2">
                  <c:v>多卡 GPU 服务器</c:v>
                </c:pt>
                <c:pt idx="3">
                  <c:v>本地 CPU/无独立显卡</c:v>
                </c:pt>
                <c:pt idx="4">
                  <c:v>商业云 GPU/算力租赁平台</c:v>
                </c:pt>
                <c:pt idx="5">
                  <c:v>本地单卡 GPU</c:v>
                </c:pt>
                <c:pt idx="6">
                  <c:v>学校/学院计算中心服务器</c:v>
                </c:pt>
                <c:pt idx="7">
                  <c:v>实验室/课题组共享 GPU 服务器</c:v>
                </c:pt>
              </c:strCache>
            </c:strRef>
          </c:cat>
          <c:val>
            <c:numRef>
              <c:f>{0,0,3,3,4,6,7,14}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最近一次复现的主要任务场景（有效样本 N=20）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"数量 n"</c:f>
              <c:strCache>
                <c:ptCount val="1"/>
                <c:pt idx="0">
                  <c:v>数量 n</c:v>
                </c:pt>
              </c:strCache>
            </c:strRef>
          </c:tx>
          <c:spPr>
            <a:solidFill xmlns:a="http://schemas.openxmlformats.org/drawingml/2006/main">
              <a:srgbClr val="1F4E78"/>
            </a:solidFill>
          </c:spPr>
          <c:dLbls>
            <c:numFmt formatCode="General" sourceLinked="1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{"其他","竞赛或求职项目","个人技术学习或能力提升","科研实习或工作任务","课程作业或课程项目","科研或学位课题"}</c:f>
              <c:strCache>
                <c:ptCount val="6"/>
                <c:pt idx="0">
                  <c:v>其他</c:v>
                </c:pt>
                <c:pt idx="1">
                  <c:v>竞赛或求职项目</c:v>
                </c:pt>
                <c:pt idx="2">
                  <c:v>个人技术学习或能力提升</c:v>
                </c:pt>
                <c:pt idx="3">
                  <c:v>科研实习或工作任务</c:v>
                </c:pt>
                <c:pt idx="4">
                  <c:v>课程作业或课程项目</c:v>
                </c:pt>
                <c:pt idx="5">
                  <c:v>科研或学位课题</c:v>
                </c:pt>
              </c:strCache>
            </c:strRef>
          </c:cat>
          <c:val>
            <c:numRef>
              <c:f>{0,0,0,1,2,17}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最近一次复现结果（有效样本 N=20）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"数量 n"</c:f>
              <c:strCache>
                <c:ptCount val="1"/>
                <c:pt idx="0">
                  <c:v>数量 n</c:v>
                </c:pt>
              </c:strCache>
            </c:strRef>
          </c:tx>
          <c:spPr>
            <a:solidFill xmlns:a="http://schemas.openxmlformats.org/drawingml/2006/main">
              <a:srgbClr val="1F4E78"/>
            </a:solidFill>
          </c:spPr>
          <c:dLbls>
            <c:numFmt formatCode="General" sourceLinked="1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{"仍在进行","暂停或放弃","只跑通部分流程","跑通但结果明显不一致","完整跑通并接近目标"}</c:f>
              <c:strCache>
                <c:ptCount val="5"/>
                <c:pt idx="0">
                  <c:v>仍在进行</c:v>
                </c:pt>
                <c:pt idx="1">
                  <c:v>暂停或放弃</c:v>
                </c:pt>
                <c:pt idx="2">
                  <c:v>只跑通部分流程</c:v>
                </c:pt>
                <c:pt idx="3">
                  <c:v>跑通但结果明显不一致</c:v>
                </c:pt>
                <c:pt idx="4">
                  <c:v>完整跑通并接近目标</c:v>
                </c:pt>
              </c:strCache>
            </c:strRef>
          </c:cat>
          <c:val>
            <c:numRef>
              <c:f>{0,0,4,6,10}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619125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5ca178df4d46cb"/>
        </a:graphicData>
      </a:graphic>
    </xdr:graphicFrame>
    <xdr:clientData/>
  </xdr:oneCellAnchor>
  <xdr:oneCellAnchor>
    <xdr:from>
      <xdr:col>9</xdr:col>
      <xdr:colOff>0</xdr:colOff>
      <xdr:row>4</xdr:row>
      <xdr:rowOff>0</xdr:rowOff>
    </xdr:from>
    <xdr:ext cx="619125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394df6cf0d492c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6191250" cy="2857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4cd2c471f944f3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6191250" cy="2857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34a4d474834d64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6191250" cy="285750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90c5e986604dae"/>
        </a:graphicData>
      </a:graphic>
    </xdr:graphicFrame>
    <xdr:clientData/>
  </xdr:oneCellAnchor>
  <xdr:oneCellAnchor>
    <xdr:from>
      <xdr:col>9</xdr:col>
      <xdr:colOff>0</xdr:colOff>
      <xdr:row>38</xdr:row>
      <xdr:rowOff>0</xdr:rowOff>
    </xdr:from>
    <xdr:ext cx="6191250" cy="2857500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833c63887646dd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tbl_valid_samples" displayName="tbl_valid_samples" ref="A1:Z21" totalsRowShown="0">
  <x:tableColumns count="26">
    <x:tableColumn id="1" name="sample_id"/>
    <x:tableColumn id="2" name="final_status"/>
    <x:tableColumn id="3" name="include_in_main_analysis"/>
    <x:tableColumn id="4" name="Q2_身份"/>
    <x:tableColumn id="5" name="Q3_复现经验"/>
    <x:tableColumn id="6" name="Q4_技术方向"/>
    <x:tableColumn id="7" name="domain_cv"/>
    <x:tableColumn id="8" name="domain_multimodal"/>
    <x:tableColumn id="9" name="domain_genai"/>
    <x:tableColumn id="10" name="domain_nlp_llm"/>
    <x:tableColumn id="11" name="domain_speech_audio"/>
    <x:tableColumn id="12" name="domain_other"/>
    <x:tableColumn id="13" name="Q4_selection_count"/>
    <x:tableColumn id="14" name="Q5_资源条件"/>
    <x:tableColumn id="15" name="resource_cpu"/>
    <x:tableColumn id="16" name="resource_local_gpu"/>
    <x:tableColumn id="17" name="resource_shared_gpu"/>
    <x:tableColumn id="18" name="resource_compute_center"/>
    <x:tableColumn id="19" name="resource_cloud_gpu"/>
    <x:tableColumn id="20" name="resource_multi_gpu"/>
    <x:tableColumn id="21" name="resource_restricted"/>
    <x:tableColumn id="22" name="resource_other"/>
    <x:tableColumn id="23" name="Q5_selection_count"/>
    <x:tableColumn id="24" name="Q6_任务场景"/>
    <x:tableColumn id="25" name="Q7_最近复现结果"/>
    <x:tableColumn id="26" name="核对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36a98cd3a945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6e814c8c85b40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1" hidden="0" customWidth="1"/>
    <x:col min="2" max="2" width="20" hidden="0" customWidth="1"/>
    <x:col min="3" max="3" width="12" customWidth="1"/>
    <x:col min="4" max="4" width="14" customWidth="1"/>
    <x:col min="5" max="5" width="18" customWidth="1"/>
    <x:col min="6" max="6" width="32" customWidth="1"/>
  </x:cols>
  <x:sheetData>
    <x:row r="1" ht="26" customHeight="1">
      <x:c r="A1" s="56" t="s">
        <x:v>0</x:v>
      </x:c>
      <x:c r="B1" s="57" t="s">
        <x:v>1</x:v>
      </x:c>
    </x:row>
    <x:row r="2" ht="23" customHeight="1">
      <x:c r="A2" s="58" t="s">
        <x:v>2</x:v>
      </x:c>
      <x:c r="B2" s="59">
        <x:v>46239</x:v>
      </x:c>
    </x:row>
    <x:row r="3" ht="23" customHeight="1">
      <x:c r="A3" s="60" t="s">
        <x:v>3</x:v>
      </x:c>
      <x:c r="B3" s="61" t="s">
        <x:v>4</x:v>
      </x:c>
    </x:row>
    <x:row r="4" ht="23" customHeight="1">
      <x:c r="A4" s="60" t="s">
        <x:v>5</x:v>
      </x:c>
      <x:c r="B4" s="61" t="s">
        <x:v>6</x:v>
      </x:c>
    </x:row>
    <x:row r="5" ht="23" customHeight="1">
      <x:c r="A5" s="60" t="s">
        <x:v>7</x:v>
      </x:c>
      <x:c r="B5" s="61" t="s">
        <x:v>8</x:v>
      </x:c>
    </x:row>
    <x:row r="6" ht="23" customHeight="1">
      <x:c r="A6" s="60" t="s">
        <x:v>9</x:v>
      </x:c>
      <x:c r="B6" s="61" t="s">
        <x:v>10</x:v>
      </x:c>
    </x:row>
    <x:row r="7" ht="23" customHeight="1">
      <x:c r="A7" s="60" t="s">
        <x:v>11</x:v>
      </x:c>
      <x:c r="B7" s="61" t="s">
        <x:v>12</x:v>
      </x:c>
    </x:row>
    <x:row r="8" ht="23" customHeight="1">
      <x:c r="A8" s="60" t="s">
        <x:v>13</x:v>
      </x:c>
      <x:c r="B8" s="61" t="s">
        <x:v>14</x:v>
      </x:c>
    </x:row>
    <x:row r="9" ht="23" customHeight="1">
      <x:c r="A9" s="60" t="s">
        <x:v>15</x:v>
      </x:c>
      <x:c r="B9" s="61" t="s">
        <x:v>16</x:v>
      </x:c>
    </x:row>
    <x:row r="10" ht="23" customHeight="1">
      <x:c r="A10" s="60" t="s">
        <x:v>17</x:v>
      </x:c>
      <x:c r="B10" s="61" t="s">
        <x:v>18</x:v>
      </x:c>
    </x:row>
    <x:row r="11" ht="34" customHeight="1">
      <x:c r="A11" s="62" t="s">
        <x:v>19</x:v>
      </x:c>
      <x:c r="B11" s="63" t="s">
        <x:v>20</x:v>
      </x:c>
    </x:row>
    <x:row r="12" ht="72" customHeight="1">
      <x:c r="A12" s="64"/>
      <x:c r="B12" s="65"/>
    </x:row>
    <x:row r="15" ht="25" customHeight="1">
      <x:c r="A15" s="47" t="s">
        <x:v>21</x:v>
      </x:c>
      <x:c r="B15" s="47" t="s">
        <x:v>22</x:v>
      </x:c>
    </x:row>
    <x:row r="16" ht="25" customHeight="1">
      <x:c r="A16" s="51" t="s">
        <x:v>23</x:v>
      </x:c>
      <x:c r="B16" s="55" t="n">
        <x:f>SUM('03_样本结构汇总'!D2:D8)</x:f>
        <x:v>20</x:v>
      </x:c>
    </x:row>
    <x:row r="17" ht="25" customHeight="1">
      <x:c r="A17" s="51" t="s">
        <x:v>24</x:v>
      </x:c>
      <x:c r="B17" s="55" t="n">
        <x:f>SUM('03_样本结构汇总'!D9:D13)</x:f>
        <x:v>20</x:v>
      </x:c>
    </x:row>
    <x:row r="18" ht="25" customHeight="1">
      <x:c r="A18" s="51" t="s">
        <x:v>25</x:v>
      </x:c>
      <x:c r="B18" s="55" t="s">
        <x:v>26</x:v>
      </x:c>
    </x:row>
    <x:row r="19" ht="25" customHeight="1">
      <x:c r="A19" s="51" t="s">
        <x:v>27</x:v>
      </x:c>
      <x:c r="B19" s="55" t="n">
        <x:f>COUNTIF(tbl_valid_samples[Q4_selection_count],0)</x:f>
        <x:v>0</x:v>
      </x:c>
    </x:row>
    <x:row r="20" ht="25" customHeight="1">
      <x:c r="A20" s="51" t="s">
        <x:v>28</x:v>
      </x:c>
      <x:c r="B20" s="55" t="s">
        <x:v>26</x:v>
      </x:c>
    </x:row>
    <x:row r="21" ht="25" customHeight="1">
      <x:c r="A21" s="51" t="s">
        <x:v>29</x:v>
      </x:c>
      <x:c r="B21" s="55" t="n">
        <x:f>COUNTIF(tbl_valid_samples[Q5_selection_count],0)</x:f>
        <x:v>0</x:v>
      </x:c>
    </x:row>
    <x:row r="22" ht="25" customHeight="1">
      <x:c r="A22" s="51" t="s">
        <x:v>30</x:v>
      </x:c>
      <x:c r="B22" s="55" t="n">
        <x:f>SUM('03_样本结构汇总'!D28:D33)</x:f>
        <x:v>20</x:v>
      </x:c>
    </x:row>
    <x:row r="23" ht="25" customHeight="1">
      <x:c r="A23" s="51" t="s">
        <x:v>31</x:v>
      </x:c>
      <x:c r="B23" s="55" t="n">
        <x:f>SUM('03_样本结构汇总'!D34:D38)</x:f>
        <x:v>20</x:v>
      </x:c>
    </x:row>
    <x:row r="24" ht="25" customHeight="1">
      <x:c r="A24" s="51" t="s">
        <x:v>32</x:v>
      </x:c>
      <x:c r="B24" s="55" t="str">
        <x:f>IF(COUNTBLANK(tbl_valid_samples[Q2_身份])+COUNTBLANK(tbl_valid_samples[Q3_复现经验])+COUNTBLANK(tbl_valid_samples[Q4_技术方向])+COUNTBLANK(tbl_valid_samples[Q5_资源条件])+COUNTBLANK(tbl_valid_samples[Q6_任务场景])+COUNTBLANK(tbl_valid_samples[Q7_最近复现结果])=0,"均为0","存在空值")</x:f>
        <x:v>均为0</x:v>
      </x:c>
    </x:row>
    <x:row r="25" ht="25" customHeight="1">
      <x:c r="A25" s="51" t="s">
        <x:v>33</x:v>
      </x:c>
      <x:c r="B25" s="55" t="s">
        <x:v>34</x:v>
      </x:c>
    </x:row>
    <x:row r="26" ht="25" customHeight="1">
      <x:c r="A26" s="51" t="s">
        <x:v>15</x:v>
      </x:c>
      <x:c r="B26" s="55" t="str">
        <x:f>"N="&amp;COUNTIF(tbl_valid_samples[include_in_main_analysis],1)</x:f>
        <x:v>N=20</x:v>
      </x:c>
    </x:row>
    <x:row r="28" ht="27" customHeight="1">
      <x:c r="A28" s="73" t="str">
        <x:v>状态</x:v>
      </x:c>
      <x:c r="B28" s="74" t="str">
        <x:v>样本结构统计完成</x:v>
      </x:c>
    </x:row>
    <x:row r="29" ht="27" customHeight="1">
      <x:c r="A29" s="73" t="str">
        <x:v>主分析样本</x:v>
      </x:c>
      <x:c r="B29" s="74" t="str">
        <x:v>N=20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2" customWidth="1"/>
    <x:col min="2" max="2" width="20" customWidth="1"/>
    <x:col min="3" max="3" width="22" customWidth="1"/>
    <x:col min="4" max="4" width="34" customWidth="1"/>
    <x:col min="5" max="5" width="16" customWidth="1"/>
    <x:col min="6" max="6" width="36" customWidth="1"/>
    <x:col min="7" max="7" width="15" customWidth="1"/>
    <x:col min="8" max="8" width="20" customWidth="1"/>
    <x:col min="9" max="9" width="16" customWidth="1"/>
    <x:col min="10" max="10" width="18" customWidth="1"/>
    <x:col min="11" max="11" width="22" customWidth="1"/>
    <x:col min="12" max="12" width="16" customWidth="1"/>
    <x:col min="13" max="13" width="20" customWidth="1"/>
    <x:col min="14" max="14" width="48" customWidth="1"/>
    <x:col min="15" max="15" width="18" customWidth="1"/>
    <x:col min="16" max="16" width="20" customWidth="1"/>
    <x:col min="17" max="17" width="22" customWidth="1"/>
    <x:col min="18" max="18" width="24" customWidth="1"/>
    <x:col min="19" max="19" width="20" customWidth="1"/>
    <x:col min="20" max="20" width="18" customWidth="1"/>
    <x:col min="21" max="21" width="20" customWidth="1"/>
    <x:col min="22" max="22" width="16" customWidth="1"/>
    <x:col min="23" max="23" width="20" customWidth="1"/>
    <x:col min="24" max="25" width="44" customWidth="1"/>
    <x:col min="26" max="26" width="48" customWidth="1"/>
    <x:col min="28" max="28" width="24" customWidth="1"/>
    <x:col min="29" max="29" width="14" customWidth="1"/>
    <x:col min="31" max="31" width="24" customWidth="1"/>
    <x:col min="33" max="33" width="58" customWidth="1"/>
    <x:col min="35" max="35" width="58" customWidth="1"/>
    <x:col min="37" max="37" width="48" customWidth="1"/>
  </x:cols>
  <x:sheetData>
    <x:row r="1" ht="32" customHeight="1">
      <x:c r="A1" t="s">
        <x:v>35</x:v>
      </x:c>
      <x:c r="B1" t="s">
        <x:v>36</x:v>
      </x:c>
      <x:c r="C1" t="s">
        <x:v>37</x:v>
      </x:c>
      <x:c r="D1" t="s">
        <x:v>38</x:v>
      </x:c>
      <x:c r="E1" t="s">
        <x:v>39</x:v>
      </x:c>
      <x:c r="F1" t="s">
        <x:v>40</x:v>
      </x:c>
      <x:c r="G1" t="s">
        <x:v>41</x:v>
      </x:c>
      <x:c r="H1" t="s">
        <x:v>42</x:v>
      </x:c>
      <x:c r="I1" t="s">
        <x:v>43</x:v>
      </x:c>
      <x:c r="J1" t="s">
        <x:v>44</x:v>
      </x:c>
      <x:c r="K1" t="s">
        <x:v>45</x:v>
      </x:c>
      <x:c r="L1" t="s">
        <x:v>46</x:v>
      </x:c>
      <x:c r="M1" t="s">
        <x:v>47</x:v>
      </x:c>
      <x:c r="N1" t="s">
        <x:v>48</x:v>
      </x:c>
      <x:c r="O1" t="s">
        <x:v>49</x:v>
      </x:c>
      <x:c r="P1" t="s">
        <x:v>50</x:v>
      </x:c>
      <x:c r="Q1" t="s">
        <x:v>51</x:v>
      </x:c>
      <x:c r="R1" t="s">
        <x:v>52</x:v>
      </x:c>
      <x:c r="S1" t="s">
        <x:v>53</x:v>
      </x:c>
      <x:c r="T1" t="s">
        <x:v>54</x:v>
      </x:c>
      <x:c r="U1" t="s">
        <x:v>55</x:v>
      </x:c>
      <x:c r="V1" t="s">
        <x:v>56</x:v>
      </x:c>
      <x:c r="W1" t="s">
        <x:v>57</x:v>
      </x:c>
      <x:c r="X1" t="s">
        <x:v>58</x:v>
      </x:c>
      <x:c r="Y1" t="s">
        <x:v>59</x:v>
      </x:c>
      <x:c r="Z1" t="s">
        <x:v>60</x:v>
      </x:c>
      <x:c r="AB1" s="47" t="s">
        <x:v>61</x:v>
      </x:c>
      <x:c r="AC1" s="47" t="s">
        <x:v>22</x:v>
      </x:c>
      <x:c r="AE1" s="48" t="s">
        <x:v>62</x:v>
      </x:c>
      <x:c r="AG1" s="48" t="s">
        <x:v>63</x:v>
      </x:c>
      <x:c r="AI1" s="48" t="s">
        <x:v>64</x:v>
      </x:c>
      <x:c r="AK1" s="49" t="s">
        <x:v>65</x:v>
      </x:c>
    </x:row>
    <x:row r="2" ht="24" customHeight="1">
      <x:c r="A2" t="s">
        <x:v>66</x:v>
      </x:c>
      <x:c r="B2" t="s">
        <x:v>7</x:v>
      </x:c>
      <x:c r="C2">
        <x:v>1</x:v>
      </x:c>
      <x:c r="D2" t="s">
        <x:v>67</x:v>
      </x:c>
      <x:c r="E2" t="s">
        <x:v>68</x:v>
      </x:c>
      <x:c r="F2" t="s">
        <x:v>69</x:v>
      </x:c>
      <x:c r="G2" s="50" t="n">
        <x:f t="shared" ref="G2:G21" si="0">--ISNUMBER(SEARCH("计算机视觉",F2))</x:f>
        <x:v>1</x:v>
      </x:c>
      <x:c r="H2" s="50" t="n">
        <x:f t="shared" ref="H2:H21" si="1">--ISNUMBER(SEARCH("多模态",F2))</x:f>
        <x:v>1</x:v>
      </x:c>
      <x:c r="I2" s="50" t="n">
        <x:f t="shared" ref="I2:I21" si="2">--ISNUMBER(SEARCH("生成式 AI",F2))</x:f>
        <x:v>0</x:v>
      </x:c>
      <x:c r="J2" s="50" t="n">
        <x:f t="shared" ref="J2:J21" si="3">--ISNUMBER(SEARCH("NLP/大模型",F2))</x:f>
        <x:v>0</x:v>
      </x:c>
      <x:c r="K2" s="50" t="n">
        <x:f t="shared" ref="K2:K21" si="4">--ISNUMBER(SEARCH("语音/音频",F2))</x:f>
        <x:v>0</x:v>
      </x:c>
      <x:c r="L2" s="50" t="n" cm="1">
        <x:f t="array" ref="L2">--ISNUMBER(SEARCH("其他",F2))</x:f>
        <x:v>0</x:v>
      </x:c>
      <x:c r="M2" s="50" t="n">
        <x:f t="shared" ref="M2:M21" si="5">SUM(G2:L2)</x:f>
        <x:v>2</x:v>
      </x:c>
      <x:c r="N2" t="s">
        <x:v>70</x:v>
      </x:c>
      <x:c r="O2" s="50" t="n" cm="1">
        <x:f t="array" ref="O2">--ISNUMBER(SEARCH("个人设备（仅 CPU／无独立显卡）",N2))</x:f>
        <x:v>0</x:v>
      </x:c>
      <x:c r="P2" s="50" t="n">
        <x:f t="shared" ref="P2:P21" si="6">--ISNUMBER(SEARCH("个人设备（单卡 GPU）",N2))</x:f>
        <x:v>0</x:v>
      </x:c>
      <x:c r="Q2" s="50" t="n">
        <x:f t="shared" ref="Q2:Q21" si="7">--ISNUMBER(SEARCH("实验室/课题组共享 GPU 服务器",N2))</x:f>
        <x:v>1</x:v>
      </x:c>
      <x:c r="R2" s="50" t="n">
        <x:f t="shared" ref="R2:R21" si="8">--ISNUMBER(SEARCH("学校/学院计算中心服务器",N2))</x:f>
        <x:v>0</x:v>
      </x:c>
      <x:c r="S2" s="50" t="n">
        <x:f t="shared" ref="S2:S21" si="9">--ISNUMBER(SEARCH("商业云 GPU/算力租赁平台",N2))</x:f>
        <x:v>0</x:v>
      </x:c>
      <x:c r="T2" s="50" t="n">
        <x:f t="shared" ref="T2:T21" si="10">--ISNUMBER(SEARCH("多卡 GPU 服务器",N2))</x:f>
        <x:v>1</x:v>
      </x:c>
      <x:c r="U2" s="50" t="n">
        <x:f t="shared" ref="U2:U21" si="11">--ISNUMBER(SEARCH("环境或权限受限",N2))</x:f>
        <x:v>0</x:v>
      </x:c>
      <x:c r="V2" s="50" t="n" cm="1">
        <x:f t="array" ref="V2">--ISNUMBER(SEARCH("其他",N2))</x:f>
        <x:v>0</x:v>
      </x:c>
      <x:c r="W2" s="50" t="n">
        <x:f t="shared" ref="W2:W21" si="12">SUM(O2:V2)</x:f>
        <x:v>2</x:v>
      </x:c>
      <x:c r="X2" t="str" cm="1">
        <x:f t="array" ref="X2">"科研或学位课题，例如论文实验、对比基线、毕业论文"</x:f>
        <x:v>科研或学位课题，例如论文实验、对比基线、毕业论文</x:v>
      </x:c>
      <x:c r="Y2" t="s">
        <x:v>71</x:v>
      </x:c>
      <x:c r="Z2" t="s">
        <x:v>72</x:v>
      </x:c>
      <x:c r="AB2" s="51" t="s">
        <x:v>73</x:v>
      </x:c>
      <x:c r="AC2" s="52" t="n">
        <x:f>COUNTIF(D2:Z21,"未找到")</x:f>
        <x:v>0</x:v>
      </x:c>
      <x:c r="AE2" s="38" t="str" cm="1">
        <x:f t="array" ref="AE2:AE6">_xlfn._xlws.SORT(_xlfn.UNIQUE(tbl_valid_samples[Q3_复现经验]))</x:f>
        <x:v>0 次</x:v>
      </x:c>
      <x:c r="AG2" s="38" t="str" cm="1">
        <x:f t="array" ref="AG2:AG13">_xlfn._xlws.SORT(_xlfn.UNIQUE(tbl_valid_samples[Q5_资源条件]))</x:f>
        <x:v>个人设备（单卡 GPU）</x:v>
      </x:c>
      <x:c r="AI2" s="38" t="str" cm="1">
        <x:f t="array" ref="AI2:AI4">_xlfn._xlws.SORT(_xlfn.UNIQUE(tbl_valid_samples[Q6_任务场景]))</x:f>
        <x:v>科研或学位课题，例如论文实验、对比基线、毕业论文</x:v>
      </x:c>
      <x:c r="AK2" s="53" t="str" cm="1">
        <x:f t="array" ref="AK2:AK4">_xlfn._xlws.SORT(_xlfn.UNIQUE(tbl_valid_samples[Q7_最近复现结果]))</x:f>
        <x:v>完整跑通，并达到接近目标的结果</x:v>
      </x:c>
    </x:row>
    <x:row r="3" ht="24" customHeight="1">
      <x:c r="A3" t="s">
        <x:v>74</x:v>
      </x:c>
      <x:c r="B3" t="s">
        <x:v>7</x:v>
      </x:c>
      <x:c r="C3">
        <x:v>1</x:v>
      </x:c>
      <x:c r="D3" t="s">
        <x:v>67</x:v>
      </x:c>
      <x:c r="E3" t="s">
        <x:v>68</x:v>
      </x:c>
      <x:c r="F3" t="s">
        <x:v>75</x:v>
      </x:c>
      <x:c r="G3" s="50">
        <x:f t="shared" si="0"/>
        <x:v>0</x:v>
      </x:c>
      <x:c r="H3" s="50">
        <x:f t="shared" si="1"/>
        <x:v>0</x:v>
      </x:c>
      <x:c r="I3" s="50">
        <x:f t="shared" si="2"/>
        <x:v>0</x:v>
      </x:c>
      <x:c r="J3" s="50">
        <x:f t="shared" si="3"/>
        <x:v>0</x:v>
      </x:c>
      <x:c r="K3" s="50">
        <x:f t="shared" si="4"/>
        <x:v>0</x:v>
      </x:c>
      <x:c r="L3" s="50" t="n">
        <x:f>--ISNUMBER(SEARCH("其他",F3))</x:f>
        <x:v>1</x:v>
      </x:c>
      <x:c r="M3" s="50">
        <x:f t="shared" si="5"/>
        <x:v>1</x:v>
      </x:c>
      <x:c r="N3" t="s">
        <x:v>76</x:v>
      </x:c>
      <x:c r="O3" s="50" t="n">
        <x:f t="shared" ref="O3:O21" si="13">--ISNUMBER(SEARCH("个人设备（仅 CPU／无独立显卡）",N3))</x:f>
        <x:v>0</x:v>
      </x:c>
      <x:c r="P3" s="50">
        <x:f t="shared" si="6"/>
        <x:v>1</x:v>
      </x:c>
      <x:c r="Q3" s="50">
        <x:f t="shared" si="7"/>
        <x:v>0</x:v>
      </x:c>
      <x:c r="R3" s="50">
        <x:f t="shared" si="8"/>
        <x:v>0</x:v>
      </x:c>
      <x:c r="S3" s="50">
        <x:f t="shared" si="9"/>
        <x:v>0</x:v>
      </x:c>
      <x:c r="T3" s="50">
        <x:f t="shared" si="10"/>
        <x:v>0</x:v>
      </x:c>
      <x:c r="U3" s="50">
        <x:f t="shared" si="11"/>
        <x:v>0</x:v>
      </x:c>
      <x:c r="V3" s="50"/>
      <x:c r="W3" s="50">
        <x:f t="shared" si="12"/>
        <x:v>1</x:v>
      </x:c>
      <x:c r="X3" t="s">
        <x:v>77</x:v>
      </x:c>
      <x:c r="Y3" t="s">
        <x:v>78</x:v>
      </x:c>
      <x:c r="Z3" t="s">
        <x:v>72</x:v>
      </x:c>
      <x:c r="AB3" s="51" t="s">
        <x:v>79</x:v>
      </x:c>
      <x:c r="AC3" s="52" t="n">
        <x:f>COUNTA(A2:A21)-COUNTA(_xlfn.UNIQUE(A2:A21))</x:f>
        <x:v>0</x:v>
      </x:c>
      <x:c r="AE3" s="38" t="str">
        <x:v>1 次</x:v>
      </x:c>
      <x:c r="AG3" s="38" t="str">
        <x:v>个人设备（单卡 GPU）┋商业云 GPU/算力租赁平台</x:v>
      </x:c>
      <x:c r="AI3" s="38" t="str">
        <x:v>科研实习或工作任务</x:v>
      </x:c>
      <x:c r="AK3" s="53" t="str">
        <x:v>已跑通，但结果与论文或项目说明明显不一致</x:v>
      </x:c>
    </x:row>
    <x:row r="4" ht="24" customHeight="1">
      <x:c r="A4" t="s">
        <x:v>80</x:v>
      </x:c>
      <x:c r="B4" t="s">
        <x:v>7</x:v>
      </x:c>
      <x:c r="C4">
        <x:v>1</x:v>
      </x:c>
      <x:c r="D4" t="s">
        <x:v>67</x:v>
      </x:c>
      <x:c r="E4" t="s">
        <x:v>81</x:v>
      </x:c>
      <x:c r="F4" t="s">
        <x:v>82</x:v>
      </x:c>
      <x:c r="G4" s="50">
        <x:f t="shared" si="0"/>
        <x:v>1</x:v>
      </x:c>
      <x:c r="H4" s="50">
        <x:f t="shared" si="1"/>
        <x:v>0</x:v>
      </x:c>
      <x:c r="I4" s="50">
        <x:f t="shared" si="2"/>
        <x:v>0</x:v>
      </x:c>
      <x:c r="J4" s="50">
        <x:f t="shared" si="3"/>
        <x:v>0</x:v>
      </x:c>
      <x:c r="K4" s="50">
        <x:f t="shared" si="4"/>
        <x:v>0</x:v>
      </x:c>
      <x:c r="L4" s="50" t="n">
        <x:f>--ISNUMBER(SEARCH("其他",F4))</x:f>
        <x:v>0</x:v>
      </x:c>
      <x:c r="M4" s="50">
        <x:f t="shared" si="5"/>
        <x:v>1</x:v>
      </x:c>
      <x:c r="N4" t="s">
        <x:v>83</x:v>
      </x:c>
      <x:c r="O4" s="50">
        <x:f t="shared" si="13"/>
        <x:v>0</x:v>
      </x:c>
      <x:c r="P4" s="50">
        <x:f t="shared" si="6"/>
        <x:v>1</x:v>
      </x:c>
      <x:c r="Q4" s="50">
        <x:f t="shared" si="7"/>
        <x:v>0</x:v>
      </x:c>
      <x:c r="R4" s="50">
        <x:f t="shared" si="8"/>
        <x:v>0</x:v>
      </x:c>
      <x:c r="S4" s="50">
        <x:f t="shared" si="9"/>
        <x:v>1</x:v>
      </x:c>
      <x:c r="T4" s="50">
        <x:f t="shared" si="10"/>
        <x:v>0</x:v>
      </x:c>
      <x:c r="U4" s="50">
        <x:f t="shared" si="11"/>
        <x:v>0</x:v>
      </x:c>
      <x:c r="V4" s="50"/>
      <x:c r="W4" s="50">
        <x:f t="shared" si="12"/>
        <x:v>2</x:v>
      </x:c>
      <x:c r="X4" t="s">
        <x:v>77</x:v>
      </x:c>
      <x:c r="Y4" t="s">
        <x:v>71</x:v>
      </x:c>
      <x:c r="Z4" t="s">
        <x:v>72</x:v>
      </x:c>
      <x:c r="AB4" s="51" t="s">
        <x:v>84</x:v>
      </x:c>
      <x:c r="AC4" s="52" t="n">
        <x:f>COUNTIF(A2:A21,"F-005")</x:f>
        <x:v>0</x:v>
      </x:c>
      <x:c r="AE4" s="38" t="str">
        <x:v>2—3 次</x:v>
      </x:c>
      <x:c r="AG4" s="38" t="str">
        <x:v>个人设备（单卡 GPU）┋实验室/课题组共享 GPU 服务器┋商业云 GPU/算力租赁平台</x:v>
      </x:c>
      <x:c r="AI4" s="38" t="str">
        <x:v>课程作业或课程项目</x:v>
      </x:c>
      <x:c r="AK4" s="53" t="str">
        <x:v>只跑通了部分流程</x:v>
      </x:c>
    </x:row>
    <x:row r="5" ht="24" customHeight="1">
      <x:c r="A5" t="s">
        <x:v>85</x:v>
      </x:c>
      <x:c r="B5" t="s">
        <x:v>7</x:v>
      </x:c>
      <x:c r="C5">
        <x:v>1</x:v>
      </x:c>
      <x:c r="D5" t="s">
        <x:v>67</x:v>
      </x:c>
      <x:c r="E5" t="s">
        <x:v>81</x:v>
      </x:c>
      <x:c r="F5" t="s">
        <x:v>82</x:v>
      </x:c>
      <x:c r="G5" s="50">
        <x:f t="shared" si="0"/>
        <x:v>1</x:v>
      </x:c>
      <x:c r="H5" s="50">
        <x:f t="shared" si="1"/>
        <x:v>0</x:v>
      </x:c>
      <x:c r="I5" s="50">
        <x:f t="shared" si="2"/>
        <x:v>0</x:v>
      </x:c>
      <x:c r="J5" s="50">
        <x:f t="shared" si="3"/>
        <x:v>0</x:v>
      </x:c>
      <x:c r="K5" s="50">
        <x:f t="shared" si="4"/>
        <x:v>0</x:v>
      </x:c>
      <x:c r="L5" s="50" t="n">
        <x:f>--ISNUMBER(SEARCH("其他",F5))</x:f>
        <x:v>0</x:v>
      </x:c>
      <x:c r="M5" s="50">
        <x:f t="shared" si="5"/>
        <x:v>1</x:v>
      </x:c>
      <x:c r="N5" t="s">
        <x:v>86</x:v>
      </x:c>
      <x:c r="O5" s="50">
        <x:f t="shared" si="13"/>
        <x:v>0</x:v>
      </x:c>
      <x:c r="P5" s="50">
        <x:f t="shared" si="6"/>
        <x:v>0</x:v>
      </x:c>
      <x:c r="Q5" s="50">
        <x:f t="shared" si="7"/>
        <x:v>1</x:v>
      </x:c>
      <x:c r="R5" s="50">
        <x:f t="shared" si="8"/>
        <x:v>1</x:v>
      </x:c>
      <x:c r="S5" s="50">
        <x:f t="shared" si="9"/>
        <x:v>1</x:v>
      </x:c>
      <x:c r="T5" s="50">
        <x:f t="shared" si="10"/>
        <x:v>0</x:v>
      </x:c>
      <x:c r="U5" s="50">
        <x:f t="shared" si="11"/>
        <x:v>0</x:v>
      </x:c>
      <x:c r="V5" s="50"/>
      <x:c r="W5" s="50">
        <x:f t="shared" si="12"/>
        <x:v>3</x:v>
      </x:c>
      <x:c r="X5" t="s">
        <x:v>77</x:v>
      </x:c>
      <x:c r="Y5" t="s">
        <x:v>71</x:v>
      </x:c>
      <x:c r="Z5" t="s">
        <x:v>72</x:v>
      </x:c>
      <x:c r="AB5" s="51" t="s">
        <x:v>87</x:v>
      </x:c>
      <x:c r="AC5" s="52" t="n">
        <x:f>COUNTIF(A2:A21,"F-016")</x:f>
        <x:v>0</x:v>
      </x:c>
      <x:c r="AE5" s="38" t="str">
        <x:v>4—5 次</x:v>
      </x:c>
      <x:c r="AG5" s="38" t="str">
        <x:v>个人设备（单卡 GPU）┋实验室/课题组共享 GPU 服务器┋商业云 GPU/算力租赁平台┋可使用多卡 GPU 服务器</x:v>
      </x:c>
      <x:c r="AI5" s="38">
        <x:v>0</x:v>
      </x:c>
      <x:c r="AK5" s="53"/>
    </x:row>
    <x:row r="6" ht="24" customHeight="1">
      <x:c r="A6" t="s">
        <x:v>88</x:v>
      </x:c>
      <x:c r="B6" t="s">
        <x:v>7</x:v>
      </x:c>
      <x:c r="C6">
        <x:v>1</x:v>
      </x:c>
      <x:c r="D6" t="s">
        <x:v>67</x:v>
      </x:c>
      <x:c r="E6" t="s">
        <x:v>89</x:v>
      </x:c>
      <x:c r="F6" t="s">
        <x:v>82</x:v>
      </x:c>
      <x:c r="G6" s="50">
        <x:f t="shared" si="0"/>
        <x:v>1</x:v>
      </x:c>
      <x:c r="H6" s="50">
        <x:f t="shared" si="1"/>
        <x:v>0</x:v>
      </x:c>
      <x:c r="I6" s="50">
        <x:f t="shared" si="2"/>
        <x:v>0</x:v>
      </x:c>
      <x:c r="J6" s="50">
        <x:f t="shared" si="3"/>
        <x:v>0</x:v>
      </x:c>
      <x:c r="K6" s="50">
        <x:f t="shared" si="4"/>
        <x:v>0</x:v>
      </x:c>
      <x:c r="L6" s="50" t="n">
        <x:f>--ISNUMBER(SEARCH("其他",F6))</x:f>
        <x:v>0</x:v>
      </x:c>
      <x:c r="M6" s="50">
        <x:f t="shared" si="5"/>
        <x:v>1</x:v>
      </x:c>
      <x:c r="N6" t="s">
        <x:v>90</x:v>
      </x:c>
      <x:c r="O6" s="50">
        <x:f t="shared" si="13"/>
        <x:v>0</x:v>
      </x:c>
      <x:c r="P6" s="50">
        <x:f t="shared" si="6"/>
        <x:v>0</x:v>
      </x:c>
      <x:c r="Q6" s="50">
        <x:f t="shared" si="7"/>
        <x:v>1</x:v>
      </x:c>
      <x:c r="R6" s="50">
        <x:f t="shared" si="8"/>
        <x:v>0</x:v>
      </x:c>
      <x:c r="S6" s="50">
        <x:f t="shared" si="9"/>
        <x:v>0</x:v>
      </x:c>
      <x:c r="T6" s="50">
        <x:f t="shared" si="10"/>
        <x:v>0</x:v>
      </x:c>
      <x:c r="U6" s="50">
        <x:f t="shared" si="11"/>
        <x:v>0</x:v>
      </x:c>
      <x:c r="V6" s="50"/>
      <x:c r="W6" s="50">
        <x:f t="shared" si="12"/>
        <x:v>1</x:v>
      </x:c>
      <x:c r="X6" t="s">
        <x:v>77</x:v>
      </x:c>
      <x:c r="Y6" t="s">
        <x:v>78</x:v>
      </x:c>
      <x:c r="Z6" t="s">
        <x:v>72</x:v>
      </x:c>
      <x:c r="AB6" s="51" t="s">
        <x:v>91</x:v>
      </x:c>
      <x:c r="AC6" s="52" t="n">
        <x:f>COUNTIF(A2:A21,"F-017")</x:f>
        <x:v>0</x:v>
      </x:c>
      <x:c r="AE6" s="38" t="str">
        <x:v>6 次及以上</x:v>
      </x:c>
      <x:c r="AG6" s="38" t="str">
        <x:v>个人设备（单卡 GPU）┋实验室/课题组共享 GPU 服务器┋学校/学院计算中心服务器（包括付费租用）</x:v>
      </x:c>
      <x:c r="AI6" s="38"/>
      <x:c r="AK6" s="53"/>
    </x:row>
    <x:row r="7" ht="24" customHeight="1">
      <x:c r="A7" t="s">
        <x:v>92</x:v>
      </x:c>
      <x:c r="B7" t="s">
        <x:v>7</x:v>
      </x:c>
      <x:c r="C7">
        <x:v>1</x:v>
      </x:c>
      <x:c r="D7" t="s">
        <x:v>67</x:v>
      </x:c>
      <x:c r="E7" t="s">
        <x:v>93</x:v>
      </x:c>
      <x:c r="F7" t="s">
        <x:v>94</x:v>
      </x:c>
      <x:c r="G7" s="50">
        <x:f t="shared" si="0"/>
        <x:v>1</x:v>
      </x:c>
      <x:c r="H7" s="50">
        <x:f t="shared" si="1"/>
        <x:v>0</x:v>
      </x:c>
      <x:c r="I7" s="50">
        <x:f t="shared" si="2"/>
        <x:v>1</x:v>
      </x:c>
      <x:c r="J7" s="50">
        <x:f t="shared" si="3"/>
        <x:v>1</x:v>
      </x:c>
      <x:c r="K7" s="50">
        <x:f t="shared" si="4"/>
        <x:v>0</x:v>
      </x:c>
      <x:c r="L7" s="50" t="n">
        <x:f t="shared" ref="L7:L21" si="14">--ISNUMBER(SEARCH("其他",F7))</x:f>
        <x:v>0</x:v>
      </x:c>
      <x:c r="M7" s="50">
        <x:f t="shared" si="5"/>
        <x:v>3</x:v>
      </x:c>
      <x:c r="N7" t="s">
        <x:v>95</x:v>
      </x:c>
      <x:c r="O7" s="50">
        <x:f t="shared" si="13"/>
        <x:v>1</x:v>
      </x:c>
      <x:c r="P7" s="50">
        <x:f t="shared" si="6"/>
        <x:v>1</x:v>
      </x:c>
      <x:c r="Q7" s="50">
        <x:f t="shared" si="7"/>
        <x:v>0</x:v>
      </x:c>
      <x:c r="R7" s="50">
        <x:f t="shared" si="8"/>
        <x:v>0</x:v>
      </x:c>
      <x:c r="S7" s="50">
        <x:f t="shared" si="9"/>
        <x:v>0</x:v>
      </x:c>
      <x:c r="T7" s="50">
        <x:f t="shared" si="10"/>
        <x:v>0</x:v>
      </x:c>
      <x:c r="U7" s="50">
        <x:f t="shared" si="11"/>
        <x:v>0</x:v>
      </x:c>
      <x:c r="V7" s="50" t="n">
        <x:f t="shared" ref="V7:V21" si="15">--ISNUMBER(SEARCH("其他",N7))</x:f>
        <x:v>0</x:v>
      </x:c>
      <x:c r="W7" s="50">
        <x:f t="shared" si="12"/>
        <x:v>2</x:v>
      </x:c>
      <x:c r="X7" t="s">
        <x:v>77</x:v>
      </x:c>
      <x:c r="Y7" t="s">
        <x:v>96</x:v>
      </x:c>
      <x:c r="Z7" t="s">
        <x:v>72</x:v>
      </x:c>
      <x:c r="AB7" s="51" t="s">
        <x:v>97</x:v>
      </x:c>
      <x:c r="AC7" s="52" t="n">
        <x:f>COUNTIF(C2:C21,1)</x:f>
        <x:v>20</x:v>
      </x:c>
      <x:c r="AE7" s="38"/>
      <x:c r="AG7" s="51" t="str">
        <x:v>个人设备（仅 CPU／无独立显卡）┋个人设备（单卡 GPU）</x:v>
      </x:c>
      <x:c r="AH7" s="52" t="n">
        <x:f>SUM('03_样本结构汇总'!D28:D33)</x:f>
        <x:v>20</x:v>
      </x:c>
      <x:c r="AI7" s="38"/>
    </x:row>
    <x:row r="8" ht="46" customHeight="1">
      <x:c r="A8" t="s">
        <x:v>98</x:v>
      </x:c>
      <x:c r="B8" t="s">
        <x:v>7</x:v>
      </x:c>
      <x:c r="C8">
        <x:v>1</x:v>
      </x:c>
      <x:c r="D8" t="s">
        <x:v>67</x:v>
      </x:c>
      <x:c r="E8" t="s">
        <x:v>68</x:v>
      </x:c>
      <x:c r="F8" t="s">
        <x:v>99</x:v>
      </x:c>
      <x:c r="G8" s="50">
        <x:f t="shared" si="0"/>
        <x:v>0</x:v>
      </x:c>
      <x:c r="H8" s="50">
        <x:f t="shared" si="1"/>
        <x:v>0</x:v>
      </x:c>
      <x:c r="I8" s="50">
        <x:f t="shared" si="2"/>
        <x:v>0</x:v>
      </x:c>
      <x:c r="J8" s="50">
        <x:f t="shared" si="3"/>
        <x:v>0</x:v>
      </x:c>
      <x:c r="K8" s="50">
        <x:f t="shared" si="4"/>
        <x:v>0</x:v>
      </x:c>
      <x:c r="L8" s="50">
        <x:f t="shared" si="14"/>
        <x:v>1</x:v>
      </x:c>
      <x:c r="M8" s="50">
        <x:f t="shared" si="5"/>
        <x:v>1</x:v>
      </x:c>
      <x:c r="N8" t="s">
        <x:v>100</x:v>
      </x:c>
      <x:c r="O8" s="50">
        <x:f t="shared" si="13"/>
        <x:v>1</x:v>
      </x:c>
      <x:c r="P8" s="50">
        <x:f t="shared" si="6"/>
        <x:v>0</x:v>
      </x:c>
      <x:c r="Q8" s="50">
        <x:f t="shared" si="7"/>
        <x:v>0</x:v>
      </x:c>
      <x:c r="R8" s="50">
        <x:f t="shared" si="8"/>
        <x:v>1</x:v>
      </x:c>
      <x:c r="S8" s="50">
        <x:f t="shared" si="9"/>
        <x:v>0</x:v>
      </x:c>
      <x:c r="T8" s="50">
        <x:f t="shared" si="10"/>
        <x:v>0</x:v>
      </x:c>
      <x:c r="U8" s="50">
        <x:f t="shared" si="11"/>
        <x:v>0</x:v>
      </x:c>
      <x:c r="V8" s="50">
        <x:f t="shared" si="15"/>
        <x:v>0</x:v>
      </x:c>
      <x:c r="W8" s="50">
        <x:f t="shared" si="12"/>
        <x:v>2</x:v>
      </x:c>
      <x:c r="X8" t="s">
        <x:v>77</x:v>
      </x:c>
      <x:c r="Y8" t="s">
        <x:v>71</x:v>
      </x:c>
      <x:c r="Z8" t="s">
        <x:v>72</x:v>
      </x:c>
      <x:c r="AB8" s="51" t="s">
        <x:v>101</x:v>
      </x:c>
      <x:c r="AC8" s="52" t="n">
        <x:f>COUNTIF(tbl_valid_samples[Q4_selection_count],0)</x:f>
        <x:v>0</x:v>
      </x:c>
      <x:c r="AE8" s="38"/>
      <x:c r="AG8" s="51" t="str">
        <x:v>个人设备（仅 CPU／无独立显卡）┋学校/学院计算中心服务器（包括付费租用）</x:v>
      </x:c>
      <x:c r="AH8" s="54" t="n">
        <x:f>SUM('03_样本结构汇总'!F28:F33)</x:f>
        <x:v>1</x:v>
      </x:c>
      <x:c r="AI8" s="38"/>
    </x:row>
    <x:row r="9" ht="46" customHeight="1">
      <x:c r="A9" t="s">
        <x:v>102</x:v>
      </x:c>
      <x:c r="B9" t="s">
        <x:v>7</x:v>
      </x:c>
      <x:c r="C9">
        <x:v>1</x:v>
      </x:c>
      <x:c r="D9" t="s">
        <x:v>67</x:v>
      </x:c>
      <x:c r="E9" t="s">
        <x:v>68</x:v>
      </x:c>
      <x:c r="F9" t="s">
        <x:v>69</x:v>
      </x:c>
      <x:c r="G9" s="50">
        <x:f t="shared" si="0"/>
        <x:v>1</x:v>
      </x:c>
      <x:c r="H9" s="50">
        <x:f t="shared" si="1"/>
        <x:v>1</x:v>
      </x:c>
      <x:c r="I9" s="50">
        <x:f t="shared" si="2"/>
        <x:v>0</x:v>
      </x:c>
      <x:c r="J9" s="50">
        <x:f t="shared" si="3"/>
        <x:v>0</x:v>
      </x:c>
      <x:c r="K9" s="50">
        <x:f t="shared" si="4"/>
        <x:v>0</x:v>
      </x:c>
      <x:c r="L9" s="50">
        <x:f t="shared" si="14"/>
        <x:v>0</x:v>
      </x:c>
      <x:c r="M9" s="50">
        <x:f t="shared" si="5"/>
        <x:v>2</x:v>
      </x:c>
      <x:c r="N9" t="s">
        <x:v>103</x:v>
      </x:c>
      <x:c r="O9" s="50">
        <x:f t="shared" si="13"/>
        <x:v>0</x:v>
      </x:c>
      <x:c r="P9" s="50">
        <x:f t="shared" si="6"/>
        <x:v>1</x:v>
      </x:c>
      <x:c r="Q9" s="50">
        <x:f t="shared" si="7"/>
        <x:v>1</x:v>
      </x:c>
      <x:c r="R9" s="50">
        <x:f t="shared" si="8"/>
        <x:v>1</x:v>
      </x:c>
      <x:c r="S9" s="50">
        <x:f t="shared" si="9"/>
        <x:v>0</x:v>
      </x:c>
      <x:c r="T9" s="50">
        <x:f t="shared" si="10"/>
        <x:v>0</x:v>
      </x:c>
      <x:c r="U9" s="50">
        <x:f t="shared" si="11"/>
        <x:v>0</x:v>
      </x:c>
      <x:c r="V9" s="50">
        <x:f t="shared" si="15"/>
        <x:v>0</x:v>
      </x:c>
      <x:c r="W9" s="50">
        <x:f t="shared" si="12"/>
        <x:v>3</x:v>
      </x:c>
      <x:c r="X9" t="s">
        <x:v>77</x:v>
      </x:c>
      <x:c r="Y9" t="s">
        <x:v>78</x:v>
      </x:c>
      <x:c r="Z9" t="s">
        <x:v>72</x:v>
      </x:c>
      <x:c r="AB9" s="51" t="s">
        <x:v>104</x:v>
      </x:c>
      <x:c r="AC9" s="52" t="n">
        <x:f>COUNTBLANK(tbl_valid_samples[Q4_技术方向])</x:f>
        <x:v>0</x:v>
      </x:c>
      <x:c r="AE9" s="38"/>
      <x:c r="AG9" s="51" t="str">
        <x:v>实验室/课题组共享 GPU 服务器</x:v>
      </x:c>
      <x:c r="AH9" s="52" t="n">
        <x:f>COUNTBLANK(tbl_valid_samples[Q6_任务场景])</x:f>
        <x:v>0</x:v>
      </x:c>
      <x:c r="AI9" s="38"/>
    </x:row>
    <x:row r="10" ht="46" customHeight="1">
      <x:c r="A10" t="s">
        <x:v>105</x:v>
      </x:c>
      <x:c r="B10" t="s">
        <x:v>7</x:v>
      </x:c>
      <x:c r="C10">
        <x:v>1</x:v>
      </x:c>
      <x:c r="D10" t="s">
        <x:v>67</x:v>
      </x:c>
      <x:c r="E10" t="s">
        <x:v>68</x:v>
      </x:c>
      <x:c r="F10" t="s">
        <x:v>82</x:v>
      </x:c>
      <x:c r="G10" s="50">
        <x:f t="shared" si="0"/>
        <x:v>1</x:v>
      </x:c>
      <x:c r="H10" s="50">
        <x:f t="shared" si="1"/>
        <x:v>0</x:v>
      </x:c>
      <x:c r="I10" s="50">
        <x:f t="shared" si="2"/>
        <x:v>0</x:v>
      </x:c>
      <x:c r="J10" s="50">
        <x:f t="shared" si="3"/>
        <x:v>0</x:v>
      </x:c>
      <x:c r="K10" s="50">
        <x:f t="shared" si="4"/>
        <x:v>0</x:v>
      </x:c>
      <x:c r="L10" s="50">
        <x:f t="shared" si="14"/>
        <x:v>0</x:v>
      </x:c>
      <x:c r="M10" s="50">
        <x:f t="shared" si="5"/>
        <x:v>1</x:v>
      </x:c>
      <x:c r="N10" t="s">
        <x:v>106</x:v>
      </x:c>
      <x:c r="O10" s="50">
        <x:f t="shared" si="13"/>
        <x:v>0</x:v>
      </x:c>
      <x:c r="P10" s="50">
        <x:f t="shared" si="6"/>
        <x:v>0</x:v>
      </x:c>
      <x:c r="Q10" s="50">
        <x:f t="shared" si="7"/>
        <x:v>0</x:v>
      </x:c>
      <x:c r="R10" s="50">
        <x:f t="shared" si="8"/>
        <x:v>1</x:v>
      </x:c>
      <x:c r="S10" s="50">
        <x:f t="shared" si="9"/>
        <x:v>0</x:v>
      </x:c>
      <x:c r="T10" s="50">
        <x:f t="shared" si="10"/>
        <x:v>1</x:v>
      </x:c>
      <x:c r="U10" s="50">
        <x:f t="shared" si="11"/>
        <x:v>0</x:v>
      </x:c>
      <x:c r="V10" s="50">
        <x:f t="shared" si="15"/>
        <x:v>0</x:v>
      </x:c>
      <x:c r="W10" s="50">
        <x:f t="shared" si="12"/>
        <x:v>2</x:v>
      </x:c>
      <x:c r="X10" t="s">
        <x:v>77</x:v>
      </x:c>
      <x:c r="Y10" t="s">
        <x:v>71</x:v>
      </x:c>
      <x:c r="Z10" t="s">
        <x:v>72</x:v>
      </x:c>
      <x:c r="AB10" s="51" t="s">
        <x:v>107</x:v>
      </x:c>
      <x:c r="AC10" s="52" t="n">
        <x:f>COUNTIF(tbl_valid_samples[Q5_selection_count],0)</x:f>
        <x:v>0</x:v>
      </x:c>
      <x:c r="AE10" s="38"/>
      <x:c r="AG10" s="51" t="str">
        <x:v>实验室/课题组共享 GPU 服务器┋可使用多卡 GPU 服务器</x:v>
      </x:c>
      <x:c r="AH10" s="52" t="n">
        <x:f>COUNTIF(tbl_valid_samples[Q6_任务场景],"其他")</x:f>
        <x:v>0</x:v>
      </x:c>
      <x:c r="AI10" s="38"/>
    </x:row>
    <x:row r="11" ht="46" customHeight="1">
      <x:c r="A11" t="s">
        <x:v>108</x:v>
      </x:c>
      <x:c r="B11" t="s">
        <x:v>7</x:v>
      </x:c>
      <x:c r="C11">
        <x:v>1</x:v>
      </x:c>
      <x:c r="D11" t="s">
        <x:v>67</x:v>
      </x:c>
      <x:c r="E11" t="s">
        <x:v>68</x:v>
      </x:c>
      <x:c r="F11" t="s">
        <x:v>69</x:v>
      </x:c>
      <x:c r="G11" s="50">
        <x:f t="shared" si="0"/>
        <x:v>1</x:v>
      </x:c>
      <x:c r="H11" s="50">
        <x:f t="shared" si="1"/>
        <x:v>1</x:v>
      </x:c>
      <x:c r="I11" s="50">
        <x:f t="shared" si="2"/>
        <x:v>0</x:v>
      </x:c>
      <x:c r="J11" s="50">
        <x:f t="shared" si="3"/>
        <x:v>0</x:v>
      </x:c>
      <x:c r="K11" s="50">
        <x:f t="shared" si="4"/>
        <x:v>0</x:v>
      </x:c>
      <x:c r="L11" s="50">
        <x:f t="shared" si="14"/>
        <x:v>0</x:v>
      </x:c>
      <x:c r="M11" s="50">
        <x:f t="shared" si="5"/>
        <x:v>2</x:v>
      </x:c>
      <x:c r="N11" t="s">
        <x:v>109</x:v>
      </x:c>
      <x:c r="O11" s="50">
        <x:f t="shared" si="13"/>
        <x:v>0</x:v>
      </x:c>
      <x:c r="P11" s="50">
        <x:f t="shared" si="6"/>
        <x:v>1</x:v>
      </x:c>
      <x:c r="Q11" s="50">
        <x:f t="shared" si="7"/>
        <x:v>1</x:v>
      </x:c>
      <x:c r="R11" s="50">
        <x:f t="shared" si="8"/>
        <x:v>0</x:v>
      </x:c>
      <x:c r="S11" s="50">
        <x:f t="shared" si="9"/>
        <x:v>1</x:v>
      </x:c>
      <x:c r="T11" s="50">
        <x:f t="shared" si="10"/>
        <x:v>0</x:v>
      </x:c>
      <x:c r="U11" s="50">
        <x:f t="shared" si="11"/>
        <x:v>0</x:v>
      </x:c>
      <x:c r="V11" s="50">
        <x:f t="shared" si="15"/>
        <x:v>0</x:v>
      </x:c>
      <x:c r="W11" s="50">
        <x:f t="shared" si="12"/>
        <x:v>3</x:v>
      </x:c>
      <x:c r="X11" t="s">
        <x:v>77</x:v>
      </x:c>
      <x:c r="Y11" t="s">
        <x:v>71</x:v>
      </x:c>
      <x:c r="Z11" t="s">
        <x:v>72</x:v>
      </x:c>
      <x:c r="AB11" s="51" t="s">
        <x:v>110</x:v>
      </x:c>
      <x:c r="AC11" s="52" t="n">
        <x:f>COUNTBLANK(tbl_valid_samples[Q5_资源条件])</x:f>
        <x:v>0</x:v>
      </x:c>
      <x:c r="AE11" s="38"/>
      <x:c r="AG11" s="38" t="str">
        <x:v>实验室/课题组共享 GPU 服务器┋学校/学院计算中心服务器（包括付费租用）</x:v>
      </x:c>
      <x:c r="AI11" s="38"/>
    </x:row>
    <x:row r="12" ht="46" customHeight="1">
      <x:c r="A12" t="s">
        <x:v>111</x:v>
      </x:c>
      <x:c r="B12" t="s">
        <x:v>7</x:v>
      </x:c>
      <x:c r="C12">
        <x:v>1</x:v>
      </x:c>
      <x:c r="D12" t="s">
        <x:v>112</x:v>
      </x:c>
      <x:c r="E12" t="s">
        <x:v>81</x:v>
      </x:c>
      <x:c r="F12" t="s">
        <x:v>69</x:v>
      </x:c>
      <x:c r="G12" s="50">
        <x:f t="shared" si="0"/>
        <x:v>1</x:v>
      </x:c>
      <x:c r="H12" s="50">
        <x:f t="shared" si="1"/>
        <x:v>1</x:v>
      </x:c>
      <x:c r="I12" s="50">
        <x:f t="shared" si="2"/>
        <x:v>0</x:v>
      </x:c>
      <x:c r="J12" s="50">
        <x:f t="shared" si="3"/>
        <x:v>0</x:v>
      </x:c>
      <x:c r="K12" s="50">
        <x:f t="shared" si="4"/>
        <x:v>0</x:v>
      </x:c>
      <x:c r="L12" s="50">
        <x:f t="shared" si="14"/>
        <x:v>0</x:v>
      </x:c>
      <x:c r="M12" s="50">
        <x:f t="shared" si="5"/>
        <x:v>2</x:v>
      </x:c>
      <x:c r="N12" t="s">
        <x:v>90</x:v>
      </x:c>
      <x:c r="O12" s="50">
        <x:f t="shared" si="13"/>
        <x:v>0</x:v>
      </x:c>
      <x:c r="P12" s="50">
        <x:f t="shared" si="6"/>
        <x:v>0</x:v>
      </x:c>
      <x:c r="Q12" s="50">
        <x:f t="shared" si="7"/>
        <x:v>1</x:v>
      </x:c>
      <x:c r="R12" s="50">
        <x:f t="shared" si="8"/>
        <x:v>0</x:v>
      </x:c>
      <x:c r="S12" s="50">
        <x:f t="shared" si="9"/>
        <x:v>0</x:v>
      </x:c>
      <x:c r="T12" s="50">
        <x:f t="shared" si="10"/>
        <x:v>0</x:v>
      </x:c>
      <x:c r="U12" s="50">
        <x:f t="shared" si="11"/>
        <x:v>0</x:v>
      </x:c>
      <x:c r="V12" s="50">
        <x:f t="shared" si="15"/>
        <x:v>0</x:v>
      </x:c>
      <x:c r="W12" s="50">
        <x:f t="shared" si="12"/>
        <x:v>1</x:v>
      </x:c>
      <x:c r="X12" t="s">
        <x:v>77</x:v>
      </x:c>
      <x:c r="Y12" t="s">
        <x:v>78</x:v>
      </x:c>
      <x:c r="Z12" t="s">
        <x:v>72</x:v>
      </x:c>
      <x:c r="AB12" s="51" t="s">
        <x:v>113</x:v>
      </x:c>
      <x:c r="AC12" s="55" t="s">
        <x:v>114</x:v>
      </x:c>
      <x:c r="AE12" s="38"/>
      <x:c r="AG12" s="51" t="str">
        <x:v>实验室/课题组共享 GPU 服务器┋学校/学院计算中心服务器（包括付费租用）┋商业云 GPU/算力租赁平台</x:v>
      </x:c>
      <x:c r="AH12" s="52" t="n">
        <x:f>SUM('03_样本结构汇总'!D34:D38)</x:f>
        <x:v>20</x:v>
      </x:c>
      <x:c r="AI12" s="38"/>
    </x:row>
    <x:row r="13" ht="46" customHeight="1">
      <x:c r="A13" t="s">
        <x:v>115</x:v>
      </x:c>
      <x:c r="B13" t="s">
        <x:v>7</x:v>
      </x:c>
      <x:c r="C13">
        <x:v>1</x:v>
      </x:c>
      <x:c r="D13" t="s">
        <x:v>67</x:v>
      </x:c>
      <x:c r="E13" t="s">
        <x:v>116</x:v>
      </x:c>
      <x:c r="F13" t="s">
        <x:v>82</x:v>
      </x:c>
      <x:c r="G13" s="50">
        <x:f t="shared" si="0"/>
        <x:v>1</x:v>
      </x:c>
      <x:c r="H13" s="50">
        <x:f t="shared" si="1"/>
        <x:v>0</x:v>
      </x:c>
      <x:c r="I13" s="50">
        <x:f t="shared" si="2"/>
        <x:v>0</x:v>
      </x:c>
      <x:c r="J13" s="50">
        <x:f t="shared" si="3"/>
        <x:v>0</x:v>
      </x:c>
      <x:c r="K13" s="50">
        <x:f t="shared" si="4"/>
        <x:v>0</x:v>
      </x:c>
      <x:c r="L13" s="50">
        <x:f t="shared" si="14"/>
        <x:v>0</x:v>
      </x:c>
      <x:c r="M13" s="50">
        <x:f t="shared" si="5"/>
        <x:v>1</x:v>
      </x:c>
      <x:c r="N13" t="s">
        <x:v>90</x:v>
      </x:c>
      <x:c r="O13" s="50">
        <x:f t="shared" si="13"/>
        <x:v>0</x:v>
      </x:c>
      <x:c r="P13" s="50">
        <x:f t="shared" si="6"/>
        <x:v>0</x:v>
      </x:c>
      <x:c r="Q13" s="50">
        <x:f t="shared" si="7"/>
        <x:v>1</x:v>
      </x:c>
      <x:c r="R13" s="50">
        <x:f t="shared" si="8"/>
        <x:v>0</x:v>
      </x:c>
      <x:c r="S13" s="50">
        <x:f t="shared" si="9"/>
        <x:v>0</x:v>
      </x:c>
      <x:c r="T13" s="50">
        <x:f t="shared" si="10"/>
        <x:v>0</x:v>
      </x:c>
      <x:c r="U13" s="50">
        <x:f t="shared" si="11"/>
        <x:v>0</x:v>
      </x:c>
      <x:c r="V13" s="50">
        <x:f t="shared" si="15"/>
        <x:v>0</x:v>
      </x:c>
      <x:c r="W13" s="50">
        <x:f t="shared" si="12"/>
        <x:v>1</x:v>
      </x:c>
      <x:c r="X13" t="s">
        <x:v>77</x:v>
      </x:c>
      <x:c r="Y13" t="s">
        <x:v>96</x:v>
      </x:c>
      <x:c r="Z13" t="s">
        <x:v>72</x:v>
      </x:c>
      <x:c r="AB13" s="51" t="s">
        <x:v>117</x:v>
      </x:c>
      <x:c r="AC13" s="52" t="n">
        <x:f>SUM(tbl_valid_samples[Q5_selection_count])</x:f>
        <x:v>37</x:v>
      </x:c>
      <x:c r="AE13" s="38"/>
      <x:c r="AG13" s="51" t="str">
        <x:v>学校/学院计算中心服务器（包括付费租用）┋可使用多卡 GPU 服务器</x:v>
      </x:c>
      <x:c r="AH13" s="54" t="n">
        <x:f>SUM('03_样本结构汇总'!F34:F38)</x:f>
        <x:v>1</x:v>
      </x:c>
      <x:c r="AI13" s="38"/>
    </x:row>
    <x:row r="14" ht="46" customHeight="1">
      <x:c r="A14" t="s">
        <x:v>118</x:v>
      </x:c>
      <x:c r="B14" t="s">
        <x:v>7</x:v>
      </x:c>
      <x:c r="C14">
        <x:v>1</x:v>
      </x:c>
      <x:c r="D14" t="s">
        <x:v>119</x:v>
      </x:c>
      <x:c r="E14" t="s">
        <x:v>68</x:v>
      </x:c>
      <x:c r="F14" t="s">
        <x:v>82</x:v>
      </x:c>
      <x:c r="G14" s="50">
        <x:f t="shared" si="0"/>
        <x:v>1</x:v>
      </x:c>
      <x:c r="H14" s="50">
        <x:f t="shared" si="1"/>
        <x:v>0</x:v>
      </x:c>
      <x:c r="I14" s="50">
        <x:f t="shared" si="2"/>
        <x:v>0</x:v>
      </x:c>
      <x:c r="J14" s="50">
        <x:f t="shared" si="3"/>
        <x:v>0</x:v>
      </x:c>
      <x:c r="K14" s="50">
        <x:f t="shared" si="4"/>
        <x:v>0</x:v>
      </x:c>
      <x:c r="L14" s="50">
        <x:f t="shared" si="14"/>
        <x:v>0</x:v>
      </x:c>
      <x:c r="M14" s="50">
        <x:f t="shared" si="5"/>
        <x:v>1</x:v>
      </x:c>
      <x:c r="N14" t="s">
        <x:v>120</x:v>
      </x:c>
      <x:c r="O14" s="50">
        <x:f t="shared" si="13"/>
        <x:v>0</x:v>
      </x:c>
      <x:c r="P14" s="50">
        <x:f t="shared" si="6"/>
        <x:v>0</x:v>
      </x:c>
      <x:c r="Q14" s="50">
        <x:f t="shared" si="7"/>
        <x:v>1</x:v>
      </x:c>
      <x:c r="R14" s="50">
        <x:f t="shared" si="8"/>
        <x:v>1</x:v>
      </x:c>
      <x:c r="S14" s="50">
        <x:f t="shared" si="9"/>
        <x:v>0</x:v>
      </x:c>
      <x:c r="T14" s="50">
        <x:f t="shared" si="10"/>
        <x:v>0</x:v>
      </x:c>
      <x:c r="U14" s="50">
        <x:f t="shared" si="11"/>
        <x:v>0</x:v>
      </x:c>
      <x:c r="V14" s="50">
        <x:f t="shared" si="15"/>
        <x:v>0</x:v>
      </x:c>
      <x:c r="W14" s="50">
        <x:f t="shared" si="12"/>
        <x:v>2</x:v>
      </x:c>
      <x:c r="X14" t="s">
        <x:v>121</x:v>
      </x:c>
      <x:c r="Y14" t="s">
        <x:v>71</x:v>
      </x:c>
      <x:c r="Z14" t="s">
        <x:v>72</x:v>
      </x:c>
      <x:c r="AE14" s="38"/>
      <x:c r="AG14" s="51" t="s">
        <x:v>122</x:v>
      </x:c>
      <x:c r="AH14" s="52" t="n">
        <x:f>COUNTBLANK(tbl_valid_samples[Q7_最近复现结果])</x:f>
        <x:v>0</x:v>
      </x:c>
      <x:c r="AI14" s="38"/>
    </x:row>
    <x:row r="15" ht="46" customHeight="1">
      <x:c r="A15" t="s">
        <x:v>123</x:v>
      </x:c>
      <x:c r="B15" t="s">
        <x:v>7</x:v>
      </x:c>
      <x:c r="C15">
        <x:v>1</x:v>
      </x:c>
      <x:c r="D15" t="s">
        <x:v>67</x:v>
      </x:c>
      <x:c r="E15" t="s">
        <x:v>81</x:v>
      </x:c>
      <x:c r="F15" t="s">
        <x:v>124</x:v>
      </x:c>
      <x:c r="G15" s="50">
        <x:f t="shared" si="0"/>
        <x:v>0</x:v>
      </x:c>
      <x:c r="H15" s="50">
        <x:f t="shared" si="1"/>
        <x:v>1</x:v>
      </x:c>
      <x:c r="I15" s="50">
        <x:f t="shared" si="2"/>
        <x:v>0</x:v>
      </x:c>
      <x:c r="J15" s="50">
        <x:f t="shared" si="3"/>
        <x:v>0</x:v>
      </x:c>
      <x:c r="K15" s="50">
        <x:f t="shared" si="4"/>
        <x:v>0</x:v>
      </x:c>
      <x:c r="L15" s="50">
        <x:f t="shared" si="14"/>
        <x:v>0</x:v>
      </x:c>
      <x:c r="M15" s="50">
        <x:f t="shared" si="5"/>
        <x:v>1</x:v>
      </x:c>
      <x:c r="N15" t="s">
        <x:v>120</x:v>
      </x:c>
      <x:c r="O15" s="50">
        <x:f t="shared" si="13"/>
        <x:v>0</x:v>
      </x:c>
      <x:c r="P15" s="50">
        <x:f t="shared" si="6"/>
        <x:v>0</x:v>
      </x:c>
      <x:c r="Q15" s="50">
        <x:f t="shared" si="7"/>
        <x:v>1</x:v>
      </x:c>
      <x:c r="R15" s="50">
        <x:f t="shared" si="8"/>
        <x:v>1</x:v>
      </x:c>
      <x:c r="S15" s="50">
        <x:f t="shared" si="9"/>
        <x:v>0</x:v>
      </x:c>
      <x:c r="T15" s="50">
        <x:f t="shared" si="10"/>
        <x:v>0</x:v>
      </x:c>
      <x:c r="U15" s="50">
        <x:f t="shared" si="11"/>
        <x:v>0</x:v>
      </x:c>
      <x:c r="V15" s="50">
        <x:f t="shared" si="15"/>
        <x:v>0</x:v>
      </x:c>
      <x:c r="W15" s="50">
        <x:f t="shared" si="12"/>
        <x:v>2</x:v>
      </x:c>
      <x:c r="X15" t="s">
        <x:v>77</x:v>
      </x:c>
      <x:c r="Y15" t="s">
        <x:v>71</x:v>
      </x:c>
      <x:c r="Z15" t="s">
        <x:v>72</x:v>
      </x:c>
      <x:c r="AE15" s="38"/>
      <x:c r="AG15" s="51" t="s">
        <x:v>125</x:v>
      </x:c>
      <x:c r="AH15" s="52" t="n">
        <x:f>SUM('03_样本结构汇总'!D34:D38)-COUNTA(tbl_valid_samples[Q7_最近复现结果])</x:f>
        <x:v>0</x:v>
      </x:c>
      <x:c r="AI15" s="38"/>
    </x:row>
    <x:row r="16" ht="46" customHeight="1">
      <x:c r="A16" t="s">
        <x:v>126</x:v>
      </x:c>
      <x:c r="B16" t="s">
        <x:v>7</x:v>
      </x:c>
      <x:c r="C16">
        <x:v>1</x:v>
      </x:c>
      <x:c r="D16" t="s">
        <x:v>119</x:v>
      </x:c>
      <x:c r="E16" t="s">
        <x:v>68</x:v>
      </x:c>
      <x:c r="F16" t="s">
        <x:v>82</x:v>
      </x:c>
      <x:c r="G16" s="50">
        <x:f t="shared" si="0"/>
        <x:v>1</x:v>
      </x:c>
      <x:c r="H16" s="50">
        <x:f t="shared" si="1"/>
        <x:v>0</x:v>
      </x:c>
      <x:c r="I16" s="50">
        <x:f t="shared" si="2"/>
        <x:v>0</x:v>
      </x:c>
      <x:c r="J16" s="50">
        <x:f t="shared" si="3"/>
        <x:v>0</x:v>
      </x:c>
      <x:c r="K16" s="50">
        <x:f t="shared" si="4"/>
        <x:v>0</x:v>
      </x:c>
      <x:c r="L16" s="50">
        <x:f t="shared" si="14"/>
        <x:v>0</x:v>
      </x:c>
      <x:c r="M16" s="50">
        <x:f t="shared" si="5"/>
        <x:v>1</x:v>
      </x:c>
      <x:c r="N16" t="s">
        <x:v>100</x:v>
      </x:c>
      <x:c r="O16" s="50">
        <x:f t="shared" si="13"/>
        <x:v>1</x:v>
      </x:c>
      <x:c r="P16" s="50">
        <x:f t="shared" si="6"/>
        <x:v>0</x:v>
      </x:c>
      <x:c r="Q16" s="50">
        <x:f t="shared" si="7"/>
        <x:v>0</x:v>
      </x:c>
      <x:c r="R16" s="50">
        <x:f t="shared" si="8"/>
        <x:v>1</x:v>
      </x:c>
      <x:c r="S16" s="50">
        <x:f t="shared" si="9"/>
        <x:v>0</x:v>
      </x:c>
      <x:c r="T16" s="50">
        <x:f t="shared" si="10"/>
        <x:v>0</x:v>
      </x:c>
      <x:c r="U16" s="50">
        <x:f t="shared" si="11"/>
        <x:v>0</x:v>
      </x:c>
      <x:c r="V16" s="50">
        <x:f t="shared" si="15"/>
        <x:v>0</x:v>
      </x:c>
      <x:c r="W16" s="50">
        <x:f t="shared" si="12"/>
        <x:v>2</x:v>
      </x:c>
      <x:c r="X16" t="s">
        <x:v>127</x:v>
      </x:c>
      <x:c r="Y16" t="s">
        <x:v>96</x:v>
      </x:c>
      <x:c r="Z16" t="s">
        <x:v>72</x:v>
      </x:c>
      <x:c r="AE16" s="38"/>
      <x:c r="AG16" s="38"/>
    </x:row>
    <x:row r="17" ht="46" customHeight="1">
      <x:c r="A17" t="s">
        <x:v>128</x:v>
      </x:c>
      <x:c r="B17" t="s">
        <x:v>7</x:v>
      </x:c>
      <x:c r="C17">
        <x:v>1</x:v>
      </x:c>
      <x:c r="D17" t="s">
        <x:v>67</x:v>
      </x:c>
      <x:c r="E17" t="s">
        <x:v>116</x:v>
      </x:c>
      <x:c r="F17" t="s">
        <x:v>82</x:v>
      </x:c>
      <x:c r="G17" s="50">
        <x:f t="shared" si="0"/>
        <x:v>1</x:v>
      </x:c>
      <x:c r="H17" s="50">
        <x:f t="shared" si="1"/>
        <x:v>0</x:v>
      </x:c>
      <x:c r="I17" s="50">
        <x:f t="shared" si="2"/>
        <x:v>0</x:v>
      </x:c>
      <x:c r="J17" s="50">
        <x:f t="shared" si="3"/>
        <x:v>0</x:v>
      </x:c>
      <x:c r="K17" s="50">
        <x:f t="shared" si="4"/>
        <x:v>0</x:v>
      </x:c>
      <x:c r="L17" s="50">
        <x:f t="shared" si="14"/>
        <x:v>0</x:v>
      </x:c>
      <x:c r="M17" s="50">
        <x:f t="shared" si="5"/>
        <x:v>1</x:v>
      </x:c>
      <x:c r="N17" t="s">
        <x:v>90</x:v>
      </x:c>
      <x:c r="O17" s="50">
        <x:f t="shared" si="13"/>
        <x:v>0</x:v>
      </x:c>
      <x:c r="P17" s="50">
        <x:f t="shared" si="6"/>
        <x:v>0</x:v>
      </x:c>
      <x:c r="Q17" s="50">
        <x:f t="shared" si="7"/>
        <x:v>1</x:v>
      </x:c>
      <x:c r="R17" s="50">
        <x:f t="shared" si="8"/>
        <x:v>0</x:v>
      </x:c>
      <x:c r="S17" s="50">
        <x:f t="shared" si="9"/>
        <x:v>0</x:v>
      </x:c>
      <x:c r="T17" s="50">
        <x:f t="shared" si="10"/>
        <x:v>0</x:v>
      </x:c>
      <x:c r="U17" s="50">
        <x:f t="shared" si="11"/>
        <x:v>0</x:v>
      </x:c>
      <x:c r="V17" s="50">
        <x:f t="shared" si="15"/>
        <x:v>0</x:v>
      </x:c>
      <x:c r="W17" s="50">
        <x:f t="shared" si="12"/>
        <x:v>1</x:v>
      </x:c>
      <x:c r="X17" t="s">
        <x:v>77</x:v>
      </x:c>
      <x:c r="Y17" t="s">
        <x:v>96</x:v>
      </x:c>
      <x:c r="Z17" t="s">
        <x:v>72</x:v>
      </x:c>
      <x:c r="AE17" s="38"/>
      <x:c r="AG17" s="38"/>
    </x:row>
    <x:row r="18" ht="46" customHeight="1">
      <x:c r="A18" t="s">
        <x:v>129</x:v>
      </x:c>
      <x:c r="B18" t="s">
        <x:v>7</x:v>
      </x:c>
      <x:c r="C18">
        <x:v>1</x:v>
      </x:c>
      <x:c r="D18" t="s">
        <x:v>67</x:v>
      </x:c>
      <x:c r="E18" t="s">
        <x:v>68</x:v>
      </x:c>
      <x:c r="F18" t="s">
        <x:v>82</x:v>
      </x:c>
      <x:c r="G18" s="50">
        <x:f t="shared" si="0"/>
        <x:v>1</x:v>
      </x:c>
      <x:c r="H18" s="50">
        <x:f t="shared" si="1"/>
        <x:v>0</x:v>
      </x:c>
      <x:c r="I18" s="50">
        <x:f t="shared" si="2"/>
        <x:v>0</x:v>
      </x:c>
      <x:c r="J18" s="50">
        <x:f t="shared" si="3"/>
        <x:v>0</x:v>
      </x:c>
      <x:c r="K18" s="50">
        <x:f t="shared" si="4"/>
        <x:v>0</x:v>
      </x:c>
      <x:c r="L18" s="50">
        <x:f t="shared" si="14"/>
        <x:v>0</x:v>
      </x:c>
      <x:c r="M18" s="50">
        <x:f t="shared" si="5"/>
        <x:v>1</x:v>
      </x:c>
      <x:c r="N18" t="s">
        <x:v>90</x:v>
      </x:c>
      <x:c r="O18" s="50">
        <x:f t="shared" si="13"/>
        <x:v>0</x:v>
      </x:c>
      <x:c r="P18" s="50">
        <x:f t="shared" si="6"/>
        <x:v>0</x:v>
      </x:c>
      <x:c r="Q18" s="50">
        <x:f t="shared" si="7"/>
        <x:v>1</x:v>
      </x:c>
      <x:c r="R18" s="50">
        <x:f t="shared" si="8"/>
        <x:v>0</x:v>
      </x:c>
      <x:c r="S18" s="50">
        <x:f t="shared" si="9"/>
        <x:v>0</x:v>
      </x:c>
      <x:c r="T18" s="50">
        <x:f t="shared" si="10"/>
        <x:v>0</x:v>
      </x:c>
      <x:c r="U18" s="50">
        <x:f t="shared" si="11"/>
        <x:v>0</x:v>
      </x:c>
      <x:c r="V18" s="50">
        <x:f t="shared" si="15"/>
        <x:v>0</x:v>
      </x:c>
      <x:c r="W18" s="50">
        <x:f t="shared" si="12"/>
        <x:v>1</x:v>
      </x:c>
      <x:c r="X18" t="s">
        <x:v>77</x:v>
      </x:c>
      <x:c r="Y18" t="s">
        <x:v>78</x:v>
      </x:c>
      <x:c r="Z18" t="s">
        <x:v>72</x:v>
      </x:c>
      <x:c r="AE18" s="38"/>
      <x:c r="AG18" s="38"/>
    </x:row>
    <x:row r="19" ht="46" customHeight="1">
      <x:c r="A19" t="s">
        <x:v>130</x:v>
      </x:c>
      <x:c r="B19" t="s">
        <x:v>7</x:v>
      </x:c>
      <x:c r="C19">
        <x:v>1</x:v>
      </x:c>
      <x:c r="D19" t="s">
        <x:v>67</x:v>
      </x:c>
      <x:c r="E19" t="s">
        <x:v>81</x:v>
      </x:c>
      <x:c r="F19" t="s">
        <x:v>82</x:v>
      </x:c>
      <x:c r="G19" s="50">
        <x:f t="shared" si="0"/>
        <x:v>1</x:v>
      </x:c>
      <x:c r="H19" s="50">
        <x:f t="shared" si="1"/>
        <x:v>0</x:v>
      </x:c>
      <x:c r="I19" s="50">
        <x:f t="shared" si="2"/>
        <x:v>0</x:v>
      </x:c>
      <x:c r="J19" s="50">
        <x:f t="shared" si="3"/>
        <x:v>0</x:v>
      </x:c>
      <x:c r="K19" s="50">
        <x:f t="shared" si="4"/>
        <x:v>0</x:v>
      </x:c>
      <x:c r="L19" s="50">
        <x:f t="shared" si="14"/>
        <x:v>0</x:v>
      </x:c>
      <x:c r="M19" s="50">
        <x:f t="shared" si="5"/>
        <x:v>1</x:v>
      </x:c>
      <x:c r="N19" t="s">
        <x:v>90</x:v>
      </x:c>
      <x:c r="O19" s="50">
        <x:f t="shared" si="13"/>
        <x:v>0</x:v>
      </x:c>
      <x:c r="P19" s="50">
        <x:f t="shared" si="6"/>
        <x:v>0</x:v>
      </x:c>
      <x:c r="Q19" s="50">
        <x:f t="shared" si="7"/>
        <x:v>1</x:v>
      </x:c>
      <x:c r="R19" s="50">
        <x:f t="shared" si="8"/>
        <x:v>0</x:v>
      </x:c>
      <x:c r="S19" s="50">
        <x:f t="shared" si="9"/>
        <x:v>0</x:v>
      </x:c>
      <x:c r="T19" s="50">
        <x:f t="shared" si="10"/>
        <x:v>0</x:v>
      </x:c>
      <x:c r="U19" s="50">
        <x:f t="shared" si="11"/>
        <x:v>0</x:v>
      </x:c>
      <x:c r="V19" s="50">
        <x:f t="shared" si="15"/>
        <x:v>0</x:v>
      </x:c>
      <x:c r="W19" s="50">
        <x:f t="shared" si="12"/>
        <x:v>1</x:v>
      </x:c>
      <x:c r="X19" t="s">
        <x:v>77</x:v>
      </x:c>
      <x:c r="Y19" t="s">
        <x:v>71</x:v>
      </x:c>
      <x:c r="Z19" t="s">
        <x:v>72</x:v>
      </x:c>
      <x:c r="AE19" s="38"/>
      <x:c r="AG19" s="38"/>
    </x:row>
    <x:row r="20" ht="46" customHeight="1">
      <x:c r="A20" t="s">
        <x:v>131</x:v>
      </x:c>
      <x:c r="B20" t="s">
        <x:v>7</x:v>
      </x:c>
      <x:c r="C20">
        <x:v>1</x:v>
      </x:c>
      <x:c r="D20" t="s">
        <x:v>67</x:v>
      </x:c>
      <x:c r="E20" t="s">
        <x:v>68</x:v>
      </x:c>
      <x:c r="F20" t="s">
        <x:v>82</x:v>
      </x:c>
      <x:c r="G20" s="50">
        <x:f t="shared" si="0"/>
        <x:v>1</x:v>
      </x:c>
      <x:c r="H20" s="50">
        <x:f t="shared" si="1"/>
        <x:v>0</x:v>
      </x:c>
      <x:c r="I20" s="50">
        <x:f t="shared" si="2"/>
        <x:v>0</x:v>
      </x:c>
      <x:c r="J20" s="50">
        <x:f t="shared" si="3"/>
        <x:v>0</x:v>
      </x:c>
      <x:c r="K20" s="50">
        <x:f t="shared" si="4"/>
        <x:v>0</x:v>
      </x:c>
      <x:c r="L20" s="50">
        <x:f t="shared" si="14"/>
        <x:v>0</x:v>
      </x:c>
      <x:c r="M20" s="50">
        <x:f t="shared" si="5"/>
        <x:v>1</x:v>
      </x:c>
      <x:c r="N20" t="s">
        <x:v>90</x:v>
      </x:c>
      <x:c r="O20" s="50">
        <x:f t="shared" si="13"/>
        <x:v>0</x:v>
      </x:c>
      <x:c r="P20" s="50">
        <x:f t="shared" si="6"/>
        <x:v>0</x:v>
      </x:c>
      <x:c r="Q20" s="50">
        <x:f t="shared" si="7"/>
        <x:v>1</x:v>
      </x:c>
      <x:c r="R20" s="50">
        <x:f t="shared" si="8"/>
        <x:v>0</x:v>
      </x:c>
      <x:c r="S20" s="50">
        <x:f t="shared" si="9"/>
        <x:v>0</x:v>
      </x:c>
      <x:c r="T20" s="50">
        <x:f t="shared" si="10"/>
        <x:v>0</x:v>
      </x:c>
      <x:c r="U20" s="50">
        <x:f t="shared" si="11"/>
        <x:v>0</x:v>
      </x:c>
      <x:c r="V20" s="50">
        <x:f t="shared" si="15"/>
        <x:v>0</x:v>
      </x:c>
      <x:c r="W20" s="50">
        <x:f t="shared" si="12"/>
        <x:v>1</x:v>
      </x:c>
      <x:c r="X20" t="s">
        <x:v>121</x:v>
      </x:c>
      <x:c r="Y20" t="s">
        <x:v>78</x:v>
      </x:c>
      <x:c r="Z20" t="s">
        <x:v>72</x:v>
      </x:c>
      <x:c r="AE20" s="38"/>
      <x:c r="AG20" s="38"/>
    </x:row>
    <x:row r="21" ht="46" customHeight="1">
      <x:c r="A21" t="s">
        <x:v>132</x:v>
      </x:c>
      <x:c r="B21" t="s">
        <x:v>7</x:v>
      </x:c>
      <x:c r="C21">
        <x:v>1</x:v>
      </x:c>
      <x:c r="D21" t="s">
        <x:v>112</x:v>
      </x:c>
      <x:c r="E21" t="s">
        <x:v>81</x:v>
      </x:c>
      <x:c r="F21" t="s">
        <x:v>133</x:v>
      </x:c>
      <x:c r="G21" s="50">
        <x:f t="shared" si="0"/>
        <x:v>1</x:v>
      </x:c>
      <x:c r="H21" s="50">
        <x:f t="shared" si="1"/>
        <x:v>1</x:v>
      </x:c>
      <x:c r="I21" s="50">
        <x:f t="shared" si="2"/>
        <x:v>1</x:v>
      </x:c>
      <x:c r="J21" s="50">
        <x:f t="shared" si="3"/>
        <x:v>0</x:v>
      </x:c>
      <x:c r="K21" s="50">
        <x:f t="shared" si="4"/>
        <x:v>0</x:v>
      </x:c>
      <x:c r="L21" s="50">
        <x:f t="shared" si="14"/>
        <x:v>0</x:v>
      </x:c>
      <x:c r="M21" s="50">
        <x:f t="shared" si="5"/>
        <x:v>3</x:v>
      </x:c>
      <x:c r="N21" t="s">
        <x:v>134</x:v>
      </x:c>
      <x:c r="O21" s="50">
        <x:f t="shared" si="13"/>
        <x:v>0</x:v>
      </x:c>
      <x:c r="P21" s="50">
        <x:f t="shared" si="6"/>
        <x:v>1</x:v>
      </x:c>
      <x:c r="Q21" s="50">
        <x:f t="shared" si="7"/>
        <x:v>1</x:v>
      </x:c>
      <x:c r="R21" s="50">
        <x:f t="shared" si="8"/>
        <x:v>0</x:v>
      </x:c>
      <x:c r="S21" s="50">
        <x:f t="shared" si="9"/>
        <x:v>1</x:v>
      </x:c>
      <x:c r="T21" s="50">
        <x:f t="shared" si="10"/>
        <x:v>1</x:v>
      </x:c>
      <x:c r="U21" s="50">
        <x:f t="shared" si="11"/>
        <x:v>0</x:v>
      </x:c>
      <x:c r="V21" s="50">
        <x:f t="shared" si="15"/>
        <x:v>0</x:v>
      </x:c>
      <x:c r="W21" s="50">
        <x:f t="shared" si="12"/>
        <x:v>4</x:v>
      </x:c>
      <x:c r="X21" t="s">
        <x:v>77</x:v>
      </x:c>
      <x:c r="Y21" t="s">
        <x:v>71</x:v>
      </x:c>
      <x:c r="Z21" t="s">
        <x:v>72</x:v>
      </x:c>
      <x:c r="AE21" s="38"/>
      <x:c r="AG21" s="38"/>
    </x:row>
  </x:sheetData>
  <x:pageMargins left="0.7" right="0.7" top="0.75" bottom="0.75" header="0.3" footer="0.3"/>
  <x:tableParts count="1">
    <x:tablePart xmlns:r="http://schemas.openxmlformats.org/officeDocument/2006/relationships" r:id="R4d36a98cd3a945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4" customWidth="1"/>
    <x:col min="2" max="2" width="34" customWidth="1"/>
    <x:col min="3" max="3" width="24" customWidth="1"/>
    <x:col min="4" max="6" width="12" customWidth="1"/>
    <x:col min="7" max="7" width="34" customWidth="1"/>
    <x:col min="8" max="8" width="42" customWidth="1"/>
    <x:col min="9" max="9" width="36.33333206176758" customWidth="1"/>
  </x:cols>
  <x:sheetData>
    <x:row r="1" ht="28" customHeight="1">
      <x:c r="A1" s="16" t="s">
        <x:v>135</x:v>
      </x:c>
      <x:c r="B1" s="16" t="s">
        <x:v>136</x:v>
      </x:c>
      <x:c r="C1" s="16" t="s">
        <x:v>137</x:v>
      </x:c>
      <x:c r="D1" s="16" t="s">
        <x:v>138</x:v>
      </x:c>
      <x:c r="E1" s="16" t="s">
        <x:v>139</x:v>
      </x:c>
      <x:c r="F1" s="16" t="s">
        <x:v>140</x:v>
      </x:c>
      <x:c r="G1" s="16" t="s">
        <x:v>141</x:v>
      </x:c>
      <x:c r="H1" s="17" t="s">
        <x:v>142</x:v>
      </x:c>
    </x:row>
    <x:row r="2" ht="32" customHeight="1">
      <x:c r="A2" s="18" t="s">
        <x:v>143</x:v>
      </x:c>
      <x:c r="B2" s="19" t="s">
        <x:v>119</x:v>
      </x:c>
      <x:c r="C2" s="20" t="s">
        <x:v>144</x:v>
      </x:c>
      <x:c r="D2" s="21" t="n">
        <x:f>COUNTIF(tbl_valid_samples[Q2_身份],B2)</x:f>
        <x:v>2</x:v>
      </x:c>
      <x:c r="E2" s="22" t="n">
        <x:f>COUNTIF(tbl_valid_samples[include_in_main_analysis],1)</x:f>
        <x:v>20</x:v>
      </x:c>
      <x:c r="F2" s="23" t="n">
        <x:f t="shared" ref="F2:F38" si="0">IFERROR(D2/E2,0)</x:f>
        <x:v>0.1</x:v>
      </x:c>
      <x:c r="G2" s="24" t="str">
        <x:f t="shared" ref="G2:G38" si="1">C2&amp;"："&amp;D2&amp;"/"&amp;E2&amp;"（"&amp;TEXT(F2,"0.0%")&amp;"）"</x:f>
        <x:v>本科生：2/20（10.0%）</x:v>
      </x:c>
      <x:c r="H2" s="24" t="str">
        <x:f t="shared" ref="H2:H10" si="2">IF(D2&lt;=3,"小样本，仅作探索性描述","")</x:f>
        <x:v>小样本，仅作探索性描述</x:v>
      </x:c>
      <x:c r="I2" s="25" t="s">
        <x:v>145</x:v>
      </x:c>
    </x:row>
    <x:row r="3" ht="32" customHeight="1">
      <x:c r="A3" s="18" t="s">
        <x:v>143</x:v>
      </x:c>
      <x:c r="B3" s="19" t="s">
        <x:v>67</x:v>
      </x:c>
      <x:c r="C3" s="20" t="s">
        <x:v>146</x:v>
      </x:c>
      <x:c r="D3" s="21" t="n">
        <x:f>COUNTIF(tbl_valid_samples[Q2_身份],B3)</x:f>
        <x:v>16</x:v>
      </x:c>
      <x:c r="E3" s="22" t="n">
        <x:f>COUNTIF(tbl_valid_samples[include_in_main_analysis],1)</x:f>
        <x:v>20</x:v>
      </x:c>
      <x:c r="F3" s="23">
        <x:f t="shared" si="0"/>
        <x:v>0.8</x:v>
      </x:c>
      <x:c r="G3" s="24" t="str">
        <x:f t="shared" si="1"/>
        <x:v>硕士研究生：16/20（80.0%）</x:v>
      </x:c>
      <x:c r="H3" s="24" t="str">
        <x:f t="shared" si="2"/>
      </x:c>
      <x:c r="I3" s="26"/>
    </x:row>
    <x:row r="4" ht="32" customHeight="1">
      <x:c r="A4" s="18" t="s">
        <x:v>143</x:v>
      </x:c>
      <x:c r="B4" s="19" t="s">
        <x:v>112</x:v>
      </x:c>
      <x:c r="C4" s="20" t="s">
        <x:v>147</x:v>
      </x:c>
      <x:c r="D4" s="21" t="n">
        <x:f>COUNTIF(tbl_valid_samples[Q2_身份],B4)</x:f>
        <x:v>2</x:v>
      </x:c>
      <x:c r="E4" s="22" t="n">
        <x:f>COUNTIF(tbl_valid_samples[include_in_main_analysis],1)</x:f>
        <x:v>20</x:v>
      </x:c>
      <x:c r="F4" s="23">
        <x:f t="shared" si="0"/>
        <x:v>0.1</x:v>
      </x:c>
      <x:c r="G4" s="24" t="str">
        <x:f t="shared" si="1"/>
        <x:v>博士研究生：2/20（10.0%）</x:v>
      </x:c>
      <x:c r="H4" s="24" t="str">
        <x:f t="shared" si="2"/>
        <x:v>小样本，仅作探索性描述</x:v>
      </x:c>
      <x:c r="I4" s="26"/>
    </x:row>
    <x:row r="5" ht="32" customHeight="1">
      <x:c r="A5" s="18" t="s">
        <x:v>143</x:v>
      </x:c>
      <x:c r="B5" s="19" t="s">
        <x:v>148</x:v>
      </x:c>
      <x:c r="C5" s="20" t="s">
        <x:v>148</x:v>
      </x:c>
      <x:c r="D5" s="21" t="n">
        <x:f>COUNTIF(tbl_valid_samples[Q2_身份],B5)</x:f>
        <x:v>0</x:v>
      </x:c>
      <x:c r="E5" s="22" t="n">
        <x:f>COUNTIF(tbl_valid_samples[include_in_main_analysis],1)</x:f>
        <x:v>20</x:v>
      </x:c>
      <x:c r="F5" s="23">
        <x:f t="shared" si="0"/>
        <x:v>0</x:v>
      </x:c>
      <x:c r="G5" s="24" t="str">
        <x:f t="shared" si="1"/>
        <x:v>科研实习生/研究助理：0/20（0.0%）</x:v>
      </x:c>
      <x:c r="H5" s="24" t="str">
        <x:f t="shared" si="2"/>
        <x:v>小样本，仅作探索性描述</x:v>
      </x:c>
      <x:c r="I5" s="26"/>
    </x:row>
    <x:row r="6" ht="32" customHeight="1">
      <x:c r="A6" s="18" t="s">
        <x:v>143</x:v>
      </x:c>
      <x:c r="B6" s="19" t="s">
        <x:v>149</x:v>
      </x:c>
      <x:c r="C6" s="20" t="s">
        <x:v>149</x:v>
      </x:c>
      <x:c r="D6" s="21" t="n">
        <x:f>COUNTIF(tbl_valid_samples[Q2_身份],B6)</x:f>
        <x:v>0</x:v>
      </x:c>
      <x:c r="E6" s="22" t="n">
        <x:f>COUNTIF(tbl_valid_samples[include_in_main_analysis],1)</x:f>
        <x:v>20</x:v>
      </x:c>
      <x:c r="F6" s="23">
        <x:f t="shared" si="0"/>
        <x:v>0</x:v>
      </x:c>
      <x:c r="G6" s="24" t="str">
        <x:f t="shared" si="1"/>
        <x:v>算法工程师/研究工程师：0/20（0.0%）</x:v>
      </x:c>
      <x:c r="H6" s="24" t="str">
        <x:f t="shared" si="2"/>
        <x:v>小样本，仅作探索性描述</x:v>
      </x:c>
      <x:c r="I6" s="26"/>
    </x:row>
    <x:row r="7" ht="32" customHeight="1">
      <x:c r="A7" s="18" t="s">
        <x:v>143</x:v>
      </x:c>
      <x:c r="B7" s="19" t="s">
        <x:v>150</x:v>
      </x:c>
      <x:c r="C7" s="20" t="s">
        <x:v>150</x:v>
      </x:c>
      <x:c r="D7" s="21" t="n">
        <x:f>COUNTIF(tbl_valid_samples[Q2_身份],B7)</x:f>
        <x:v>0</x:v>
      </x:c>
      <x:c r="E7" s="22" t="n">
        <x:f>COUNTIF(tbl_valid_samples[include_in_main_analysis],1)</x:f>
        <x:v>20</x:v>
      </x:c>
      <x:c r="F7" s="23">
        <x:f t="shared" si="0"/>
        <x:v>0</x:v>
      </x:c>
      <x:c r="G7" s="24" t="str">
        <x:f t="shared" si="1"/>
        <x:v>高校教师/全职科研人员：0/20（0.0%）</x:v>
      </x:c>
      <x:c r="H7" s="24" t="str">
        <x:f t="shared" si="2"/>
        <x:v>小样本，仅作探索性描述</x:v>
      </x:c>
      <x:c r="I7" s="26"/>
    </x:row>
    <x:row r="8" ht="32" customHeight="1">
      <x:c r="A8" s="18" t="s">
        <x:v>143</x:v>
      </x:c>
      <x:c r="B8" s="19" t="s">
        <x:v>99</x:v>
      </x:c>
      <x:c r="C8" s="20" t="s">
        <x:v>99</x:v>
      </x:c>
      <x:c r="D8" s="21" t="n">
        <x:f>COUNTIF(tbl_valid_samples[Q2_身份],B8)</x:f>
        <x:v>0</x:v>
      </x:c>
      <x:c r="E8" s="22" t="n">
        <x:f>COUNTIF(tbl_valid_samples[include_in_main_analysis],1)</x:f>
        <x:v>20</x:v>
      </x:c>
      <x:c r="F8" s="23">
        <x:f t="shared" si="0"/>
        <x:v>0</x:v>
      </x:c>
      <x:c r="G8" s="24" t="str">
        <x:f t="shared" si="1"/>
        <x:v>其他：0/20（0.0%）</x:v>
      </x:c>
      <x:c r="H8" s="24" t="str">
        <x:f t="shared" si="2"/>
        <x:v>小样本，仅作探索性描述</x:v>
      </x:c>
      <x:c r="I8" s="26"/>
    </x:row>
    <x:row r="9" ht="32" customHeight="1">
      <x:c r="A9" s="27" t="s">
        <x:v>151</x:v>
      </x:c>
      <x:c r="B9" s="28" t="s">
        <x:v>93</x:v>
      </x:c>
      <x:c r="C9" s="29" t="s">
        <x:v>93</x:v>
      </x:c>
      <x:c r="D9" s="30" t="n">
        <x:f>COUNTIF(tbl_valid_samples[Q3_复现经验],B9)</x:f>
        <x:v>1</x:v>
      </x:c>
      <x:c r="E9" s="31" t="n">
        <x:f>COUNTIF(tbl_valid_samples[include_in_main_analysis],1)</x:f>
        <x:v>20</x:v>
      </x:c>
      <x:c r="F9" s="32">
        <x:f t="shared" si="0"/>
        <x:v>0.05</x:v>
      </x:c>
      <x:c r="G9" s="28" t="str">
        <x:f t="shared" si="1"/>
        <x:v>0 次：1/20（5.0%）</x:v>
      </x:c>
      <x:c r="H9" s="33" t="str">
        <x:f t="shared" si="2"/>
        <x:v>小样本，仅作探索性描述</x:v>
      </x:c>
      <x:c r="I9" s="34" t="s">
        <x:v>152</x:v>
      </x:c>
    </x:row>
    <x:row r="10" ht="32" customHeight="1">
      <x:c r="A10" s="27" t="s">
        <x:v>151</x:v>
      </x:c>
      <x:c r="B10" s="28" t="s">
        <x:v>116</x:v>
      </x:c>
      <x:c r="C10" s="29" t="s">
        <x:v>116</x:v>
      </x:c>
      <x:c r="D10" s="30" t="n">
        <x:f>COUNTIF(tbl_valid_samples[Q3_复现经验],B10)</x:f>
        <x:v>2</x:v>
      </x:c>
      <x:c r="E10" s="31" t="n">
        <x:f>COUNTIF(tbl_valid_samples[include_in_main_analysis],1)</x:f>
        <x:v>20</x:v>
      </x:c>
      <x:c r="F10" s="32">
        <x:f t="shared" si="0"/>
        <x:v>0.1</x:v>
      </x:c>
      <x:c r="G10" s="28" t="str">
        <x:f t="shared" si="1"/>
        <x:v>1 次：2/20（10.0%）</x:v>
      </x:c>
      <x:c r="H10" s="33" t="str">
        <x:f t="shared" si="2"/>
        <x:v>小样本，仅作探索性描述</x:v>
      </x:c>
      <x:c r="I10" s="35"/>
    </x:row>
    <x:row r="11" ht="88" customHeight="1">
      <x:c r="A11" s="27" t="s">
        <x:v>151</x:v>
      </x:c>
      <x:c r="B11" s="28" t="s">
        <x:v>68</x:v>
      </x:c>
      <x:c r="C11" s="29" t="s">
        <x:v>68</x:v>
      </x:c>
      <x:c r="D11" s="30" t="n">
        <x:f>COUNTIF(tbl_valid_samples[Q3_复现经验],B11)</x:f>
        <x:v>10</x:v>
      </x:c>
      <x:c r="E11" s="31" t="n">
        <x:f>COUNTIF(tbl_valid_samples[include_in_main_analysis],1)</x:f>
        <x:v>20</x:v>
      </x:c>
      <x:c r="F11" s="32">
        <x:f t="shared" si="0"/>
        <x:v>0.5</x:v>
      </x:c>
      <x:c r="G11" s="28" t="str">
        <x:f t="shared" si="1"/>
        <x:v>2—3 次：10/20（50.0%）</x:v>
      </x:c>
      <x:c r="H11" s="36"/>
      <x:c r="I11" s="35"/>
    </x:row>
    <x:row r="12" ht="32" customHeight="1">
      <x:c r="A12" s="27" t="s">
        <x:v>151</x:v>
      </x:c>
      <x:c r="B12" s="28" t="s">
        <x:v>89</x:v>
      </x:c>
      <x:c r="C12" s="29" t="s">
        <x:v>89</x:v>
      </x:c>
      <x:c r="D12" s="30" t="n">
        <x:f>COUNTIF(tbl_valid_samples[Q3_复现经验],B12)</x:f>
        <x:v>1</x:v>
      </x:c>
      <x:c r="E12" s="31" t="n">
        <x:f>COUNTIF(tbl_valid_samples[include_in_main_analysis],1)</x:f>
        <x:v>20</x:v>
      </x:c>
      <x:c r="F12" s="32">
        <x:f t="shared" si="0"/>
        <x:v>0.05</x:v>
      </x:c>
      <x:c r="G12" s="28" t="str">
        <x:f t="shared" si="1"/>
        <x:v>4—5 次：1/20（5.0%）</x:v>
      </x:c>
      <x:c r="H12" s="33" t="str">
        <x:f t="shared" ref="H12:H18" si="3">IF(D12&lt;=3,"小样本，仅作探索性描述","")</x:f>
        <x:v>小样本，仅作探索性描述</x:v>
      </x:c>
      <x:c r="I12" s="35"/>
    </x:row>
    <x:row r="13" ht="32" customHeight="1">
      <x:c r="A13" s="27" t="s">
        <x:v>151</x:v>
      </x:c>
      <x:c r="B13" s="28" t="s">
        <x:v>81</x:v>
      </x:c>
      <x:c r="C13" s="29" t="s">
        <x:v>81</x:v>
      </x:c>
      <x:c r="D13" s="30" t="n">
        <x:f>COUNTIF(tbl_valid_samples[Q3_复现经验],B13)</x:f>
        <x:v>6</x:v>
      </x:c>
      <x:c r="E13" s="31" t="n">
        <x:f>COUNTIF(tbl_valid_samples[include_in_main_analysis],1)</x:f>
        <x:v>20</x:v>
      </x:c>
      <x:c r="F13" s="32">
        <x:f t="shared" si="0"/>
        <x:v>0.3</x:v>
      </x:c>
      <x:c r="G13" s="28" t="str">
        <x:f t="shared" si="1"/>
        <x:v>6 次及以上：6/20（30.0%）</x:v>
      </x:c>
      <x:c r="H13" s="33" t="str">
        <x:f t="shared" si="3"/>
      </x:c>
      <x:c r="I13" s="35"/>
    </x:row>
    <x:row r="14" ht="32" customHeight="1">
      <x:c r="A14" s="37" t="s">
        <x:v>153</x:v>
      </x:c>
      <x:c r="B14" s="38" t="s">
        <x:v>41</x:v>
      </x:c>
      <x:c r="C14" s="39" t="s">
        <x:v>82</x:v>
      </x:c>
      <x:c r="D14" s="40" t="n">
        <x:f>SUM(tbl_valid_samples[domain_cv])</x:f>
        <x:v>17</x:v>
      </x:c>
      <x:c r="E14" s="41" t="n">
        <x:f>COUNTIF(tbl_valid_samples[include_in_main_analysis],1)</x:f>
        <x:v>20</x:v>
      </x:c>
      <x:c r="F14" s="42">
        <x:f t="shared" si="0"/>
        <x:v>0.85</x:v>
      </x:c>
      <x:c r="G14" s="38" t="str">
        <x:f t="shared" si="1"/>
        <x:v>计算机视觉：17/20（85.0%）</x:v>
      </x:c>
      <x:c r="H14" s="38" t="str">
        <x:f t="shared" si="3"/>
      </x:c>
      <x:c r="I14" s="43" t="s">
        <x:v>154</x:v>
      </x:c>
    </x:row>
    <x:row r="15" ht="32" customHeight="1">
      <x:c r="A15" s="37" t="s">
        <x:v>153</x:v>
      </x:c>
      <x:c r="B15" s="38" t="s">
        <x:v>42</x:v>
      </x:c>
      <x:c r="C15" s="39" t="s">
        <x:v>124</x:v>
      </x:c>
      <x:c r="D15" s="40" t="n">
        <x:f>SUM(tbl_valid_samples[domain_multimodal])</x:f>
        <x:v>6</x:v>
      </x:c>
      <x:c r="E15" s="41" t="n">
        <x:f>COUNTIF(tbl_valid_samples[include_in_main_analysis],1)</x:f>
        <x:v>20</x:v>
      </x:c>
      <x:c r="F15" s="42">
        <x:f t="shared" si="0"/>
        <x:v>0.3</x:v>
      </x:c>
      <x:c r="G15" s="38" t="str">
        <x:f t="shared" si="1"/>
        <x:v>多模态：6/20（30.0%）</x:v>
      </x:c>
      <x:c r="H15" s="38" t="str">
        <x:f t="shared" si="3"/>
      </x:c>
      <x:c r="I15" s="44"/>
    </x:row>
    <x:row r="16" ht="32" customHeight="1">
      <x:c r="A16" s="37" t="s">
        <x:v>153</x:v>
      </x:c>
      <x:c r="B16" s="38" t="s">
        <x:v>43</x:v>
      </x:c>
      <x:c r="C16" s="39" t="s">
        <x:v>155</x:v>
      </x:c>
      <x:c r="D16" s="40" t="n">
        <x:f>SUM(tbl_valid_samples[domain_genai])</x:f>
        <x:v>2</x:v>
      </x:c>
      <x:c r="E16" s="41" t="n">
        <x:f>COUNTIF(tbl_valid_samples[include_in_main_analysis],1)</x:f>
        <x:v>20</x:v>
      </x:c>
      <x:c r="F16" s="42">
        <x:f t="shared" si="0"/>
        <x:v>0.1</x:v>
      </x:c>
      <x:c r="G16" s="38" t="str">
        <x:f t="shared" si="1"/>
        <x:v>生成式 AI：2/20（10.0%）</x:v>
      </x:c>
      <x:c r="H16" s="38" t="str">
        <x:f t="shared" si="3"/>
        <x:v>小样本，仅作探索性描述</x:v>
      </x:c>
      <x:c r="I16" s="44"/>
    </x:row>
    <x:row r="17" ht="32" customHeight="1">
      <x:c r="A17" s="37" t="s">
        <x:v>153</x:v>
      </x:c>
      <x:c r="B17" s="38" t="s">
        <x:v>44</x:v>
      </x:c>
      <x:c r="C17" s="39" t="s">
        <x:v>156</x:v>
      </x:c>
      <x:c r="D17" s="40" t="n">
        <x:f>SUM(tbl_valid_samples[domain_nlp_llm])</x:f>
        <x:v>1</x:v>
      </x:c>
      <x:c r="E17" s="41" t="n">
        <x:f>COUNTIF(tbl_valid_samples[include_in_main_analysis],1)</x:f>
        <x:v>20</x:v>
      </x:c>
      <x:c r="F17" s="42">
        <x:f t="shared" si="0"/>
        <x:v>0.05</x:v>
      </x:c>
      <x:c r="G17" s="38" t="str">
        <x:f t="shared" si="1"/>
        <x:v>NLP/大模型：1/20（5.0%）</x:v>
      </x:c>
      <x:c r="H17" s="38" t="str">
        <x:f t="shared" si="3"/>
        <x:v>小样本，仅作探索性描述</x:v>
      </x:c>
      <x:c r="I17" s="44"/>
    </x:row>
    <x:row r="18" ht="32" customHeight="1">
      <x:c r="A18" s="37" t="s">
        <x:v>153</x:v>
      </x:c>
      <x:c r="B18" s="38" t="s">
        <x:v>45</x:v>
      </x:c>
      <x:c r="C18" s="39" t="s">
        <x:v>157</x:v>
      </x:c>
      <x:c r="D18" s="40" t="n">
        <x:f>SUM(tbl_valid_samples[domain_speech_audio])</x:f>
        <x:v>0</x:v>
      </x:c>
      <x:c r="E18" s="41" t="n">
        <x:f>COUNTIF(tbl_valid_samples[include_in_main_analysis],1)</x:f>
        <x:v>20</x:v>
      </x:c>
      <x:c r="F18" s="42">
        <x:f t="shared" si="0"/>
        <x:v>0</x:v>
      </x:c>
      <x:c r="G18" s="38" t="str">
        <x:f t="shared" si="1"/>
        <x:v>语音/音频：0/20（0.0%）</x:v>
      </x:c>
      <x:c r="H18" s="38" t="str">
        <x:f t="shared" si="3"/>
        <x:v>小样本，仅作探索性描述</x:v>
      </x:c>
      <x:c r="I18" s="44"/>
    </x:row>
    <x:row r="19" ht="58" customHeight="1">
      <x:c r="A19" s="37" t="s">
        <x:v>153</x:v>
      </x:c>
      <x:c r="B19" s="38" t="s">
        <x:v>46</x:v>
      </x:c>
      <x:c r="C19" s="39" t="s">
        <x:v>99</x:v>
      </x:c>
      <x:c r="D19" s="40" t="n">
        <x:f>SUM(tbl_valid_samples[domain_other])</x:f>
        <x:v>2</x:v>
      </x:c>
      <x:c r="E19" s="41" t="n">
        <x:f>COUNTIF(tbl_valid_samples[include_in_main_analysis],1)</x:f>
        <x:v>20</x:v>
      </x:c>
      <x:c r="F19" s="42">
        <x:f t="shared" si="0"/>
        <x:v>0.1</x:v>
      </x:c>
      <x:c r="G19" s="38" t="str">
        <x:f t="shared" si="1"/>
        <x:v>其他：2/20（10.0%）</x:v>
      </x:c>
      <x:c r="H19" s="38" t="s">
        <x:v>158</x:v>
      </x:c>
      <x:c r="I19" s="44"/>
    </x:row>
    <x:row r="20" ht="34" customHeight="1">
      <x:c r="A20" s="37" t="s">
        <x:v>159</x:v>
      </x:c>
      <x:c r="B20" s="38" t="s">
        <x:v>49</x:v>
      </x:c>
      <x:c r="C20" s="39" t="s">
        <x:v>160</x:v>
      </x:c>
      <x:c r="D20" s="40" t="n">
        <x:f>SUM(tbl_valid_samples[resource_cpu])</x:f>
        <x:v>3</x:v>
      </x:c>
      <x:c r="E20" s="41" t="n">
        <x:f>COUNTIF(tbl_valid_samples[include_in_main_analysis],1)</x:f>
        <x:v>20</x:v>
      </x:c>
      <x:c r="F20" s="42">
        <x:f t="shared" si="0"/>
        <x:v>0.15</x:v>
      </x:c>
      <x:c r="G20" s="38" t="str">
        <x:f t="shared" si="1"/>
        <x:v>本地 CPU/无独立显卡：3/20（15.0%）</x:v>
      </x:c>
      <x:c r="H20" s="38" t="str">
        <x:f t="shared" ref="H20:H26" si="4">IF(D20&lt;=3,"小样本，仅作探索性描述","")</x:f>
        <x:v>小样本，仅作探索性描述</x:v>
      </x:c>
    </x:row>
    <x:row r="21" ht="34" customHeight="1">
      <x:c r="A21" s="37" t="s">
        <x:v>159</x:v>
      </x:c>
      <x:c r="B21" s="38" t="s">
        <x:v>50</x:v>
      </x:c>
      <x:c r="C21" s="39" t="s">
        <x:v>161</x:v>
      </x:c>
      <x:c r="D21" s="40" t="n">
        <x:f>SUM(tbl_valid_samples[resource_local_gpu])</x:f>
        <x:v>6</x:v>
      </x:c>
      <x:c r="E21" s="41" t="n">
        <x:f>COUNTIF(tbl_valid_samples[include_in_main_analysis],1)</x:f>
        <x:v>20</x:v>
      </x:c>
      <x:c r="F21" s="42">
        <x:f t="shared" si="0"/>
        <x:v>0.3</x:v>
      </x:c>
      <x:c r="G21" s="38" t="str">
        <x:f t="shared" si="1"/>
        <x:v>本地单卡 GPU：6/20（30.0%）</x:v>
      </x:c>
      <x:c r="H21" s="38" t="str">
        <x:f t="shared" si="4"/>
      </x:c>
      <x:c r="I21" s="43" t="s">
        <x:v>162</x:v>
      </x:c>
    </x:row>
    <x:row r="22" ht="34" customHeight="1">
      <x:c r="A22" s="37" t="s">
        <x:v>159</x:v>
      </x:c>
      <x:c r="B22" s="38" t="s">
        <x:v>51</x:v>
      </x:c>
      <x:c r="C22" s="39" t="s">
        <x:v>90</x:v>
      </x:c>
      <x:c r="D22" s="40" t="n">
        <x:f>SUM(tbl_valid_samples[resource_shared_gpu])</x:f>
        <x:v>14</x:v>
      </x:c>
      <x:c r="E22" s="41" t="n">
        <x:f>COUNTIF(tbl_valid_samples[include_in_main_analysis],1)</x:f>
        <x:v>20</x:v>
      </x:c>
      <x:c r="F22" s="42">
        <x:f t="shared" si="0"/>
        <x:v>0.7</x:v>
      </x:c>
      <x:c r="G22" s="38" t="str">
        <x:f t="shared" si="1"/>
        <x:v>实验室/课题组共享 GPU 服务器：14/20（70.0%）</x:v>
      </x:c>
      <x:c r="H22" s="38" t="str">
        <x:f t="shared" si="4"/>
      </x:c>
      <x:c r="I22" s="44"/>
    </x:row>
    <x:row r="23" ht="34" customHeight="1">
      <x:c r="A23" s="37" t="s">
        <x:v>159</x:v>
      </x:c>
      <x:c r="B23" s="38" t="s">
        <x:v>52</x:v>
      </x:c>
      <x:c r="C23" s="39" t="s">
        <x:v>163</x:v>
      </x:c>
      <x:c r="D23" s="40" t="n">
        <x:f>SUM(tbl_valid_samples[resource_compute_center])</x:f>
        <x:v>7</x:v>
      </x:c>
      <x:c r="E23" s="41" t="n">
        <x:f>COUNTIF(tbl_valid_samples[include_in_main_analysis],1)</x:f>
        <x:v>20</x:v>
      </x:c>
      <x:c r="F23" s="42">
        <x:f t="shared" si="0"/>
        <x:v>0.35</x:v>
      </x:c>
      <x:c r="G23" s="38" t="str">
        <x:f t="shared" si="1"/>
        <x:v>学校/学院计算中心服务器：7/20（35.0%）</x:v>
      </x:c>
      <x:c r="H23" s="38" t="str">
        <x:f t="shared" si="4"/>
      </x:c>
      <x:c r="I23" s="44"/>
    </x:row>
    <x:row r="24" ht="34" customHeight="1">
      <x:c r="A24" s="37" t="s">
        <x:v>159</x:v>
      </x:c>
      <x:c r="B24" s="38" t="s">
        <x:v>53</x:v>
      </x:c>
      <x:c r="C24" s="39" t="s">
        <x:v>164</x:v>
      </x:c>
      <x:c r="D24" s="40" t="n">
        <x:f>SUM(tbl_valid_samples[resource_cloud_gpu])</x:f>
        <x:v>4</x:v>
      </x:c>
      <x:c r="E24" s="41" t="n">
        <x:f>COUNTIF(tbl_valid_samples[include_in_main_analysis],1)</x:f>
        <x:v>20</x:v>
      </x:c>
      <x:c r="F24" s="42">
        <x:f t="shared" si="0"/>
        <x:v>0.2</x:v>
      </x:c>
      <x:c r="G24" s="38" t="str">
        <x:f t="shared" si="1"/>
        <x:v>商业云 GPU/算力租赁平台：4/20（20.0%）</x:v>
      </x:c>
      <x:c r="H24" s="38" t="str">
        <x:f t="shared" si="4"/>
      </x:c>
      <x:c r="I24" s="44"/>
    </x:row>
    <x:row r="25" ht="34" customHeight="1">
      <x:c r="A25" s="37" t="s">
        <x:v>159</x:v>
      </x:c>
      <x:c r="B25" s="38" t="s">
        <x:v>54</x:v>
      </x:c>
      <x:c r="C25" s="39" t="s">
        <x:v>165</x:v>
      </x:c>
      <x:c r="D25" s="40" t="n">
        <x:f>SUM(tbl_valid_samples[resource_multi_gpu])</x:f>
        <x:v>3</x:v>
      </x:c>
      <x:c r="E25" s="41" t="n">
        <x:f>COUNTIF(tbl_valid_samples[include_in_main_analysis],1)</x:f>
        <x:v>20</x:v>
      </x:c>
      <x:c r="F25" s="42">
        <x:f t="shared" si="0"/>
        <x:v>0.15</x:v>
      </x:c>
      <x:c r="G25" s="38" t="str">
        <x:f t="shared" si="1"/>
        <x:v>多卡 GPU 服务器：3/20（15.0%）</x:v>
      </x:c>
      <x:c r="H25" s="38" t="str">
        <x:f t="shared" si="4"/>
        <x:v>小样本，仅作探索性描述</x:v>
      </x:c>
      <x:c r="I25" s="44"/>
    </x:row>
    <x:row r="26" ht="34" customHeight="1">
      <x:c r="A26" s="37" t="s">
        <x:v>159</x:v>
      </x:c>
      <x:c r="B26" s="38" t="s">
        <x:v>55</x:v>
      </x:c>
      <x:c r="C26" s="39" t="s">
        <x:v>166</x:v>
      </x:c>
      <x:c r="D26" s="40" t="n">
        <x:f>SUM(tbl_valid_samples[resource_restricted])</x:f>
        <x:v>0</x:v>
      </x:c>
      <x:c r="E26" s="41" t="n">
        <x:f>COUNTIF(tbl_valid_samples[include_in_main_analysis],1)</x:f>
        <x:v>20</x:v>
      </x:c>
      <x:c r="F26" s="42">
        <x:f t="shared" si="0"/>
        <x:v>0</x:v>
      </x:c>
      <x:c r="G26" s="38" t="str">
        <x:f t="shared" si="1"/>
        <x:v>环境或权限受限：0/20（0.0%）</x:v>
      </x:c>
      <x:c r="H26" s="38" t="str">
        <x:f t="shared" si="4"/>
        <x:v>小样本，仅作探索性描述</x:v>
      </x:c>
      <x:c r="I26" s="44"/>
    </x:row>
    <x:row r="27" ht="52" customHeight="1">
      <x:c r="A27" s="37" t="s">
        <x:v>159</x:v>
      </x:c>
      <x:c r="B27" s="38" t="s">
        <x:v>56</x:v>
      </x:c>
      <x:c r="C27" s="39" t="s">
        <x:v>99</x:v>
      </x:c>
      <x:c r="D27" s="40" t="n">
        <x:f>SUM(tbl_valid_samples[resource_other])</x:f>
        <x:v>0</x:v>
      </x:c>
      <x:c r="E27" s="41" t="n">
        <x:f>COUNTIF(tbl_valid_samples[include_in_main_analysis],1)</x:f>
        <x:v>20</x:v>
      </x:c>
      <x:c r="F27" s="42">
        <x:f t="shared" si="0"/>
        <x:v>0</x:v>
      </x:c>
      <x:c r="G27" s="38" t="str">
        <x:f t="shared" si="1"/>
        <x:v>其他：0/20（0.0%）</x:v>
      </x:c>
      <x:c r="H27" s="38" t="s">
        <x:v>167</x:v>
      </x:c>
      <x:c r="I27" s="44"/>
    </x:row>
    <x:row r="28" ht="52" customHeight="1">
      <x:c r="A28" s="37" t="s">
        <x:v>168</x:v>
      </x:c>
      <x:c r="B28" s="38" t="s">
        <x:v>77</x:v>
      </x:c>
      <x:c r="C28" s="39" t="s">
        <x:v>169</x:v>
      </x:c>
      <x:c r="D28" s="40" t="n">
        <x:f>COUNTIF(tbl_valid_samples[Q6_任务场景],B28)</x:f>
        <x:v>17</x:v>
      </x:c>
      <x:c r="E28" s="41" t="n">
        <x:f>COUNTIF(tbl_valid_samples[include_in_main_analysis],1)</x:f>
        <x:v>20</x:v>
      </x:c>
      <x:c r="F28" s="42">
        <x:f t="shared" si="0"/>
        <x:v>0.85</x:v>
      </x:c>
      <x:c r="G28" s="38" t="str">
        <x:f t="shared" si="1"/>
        <x:v>科研或学位课题：17/20（85.0%）</x:v>
      </x:c>
      <x:c r="H28" s="38" t="str">
        <x:f>IF(D28=0,"本轮未覆盖",IF(D28&lt;=3,"小样本，仅作探索性描述",""))</x:f>
      </x:c>
      <x:c r="I28" s="43" t="s">
        <x:v>170</x:v>
      </x:c>
    </x:row>
    <x:row r="29" ht="34" customHeight="1">
      <x:c r="A29" s="37" t="s">
        <x:v>168</x:v>
      </x:c>
      <x:c r="B29" s="38" t="s">
        <x:v>121</x:v>
      </x:c>
      <x:c r="C29" s="39" t="s">
        <x:v>121</x:v>
      </x:c>
      <x:c r="D29" s="40" t="n">
        <x:f>COUNTIF(tbl_valid_samples[Q6_任务场景],B29)</x:f>
        <x:v>2</x:v>
      </x:c>
      <x:c r="E29" s="41" t="n">
        <x:f>COUNTIF(tbl_valid_samples[include_in_main_analysis],1)</x:f>
        <x:v>20</x:v>
      </x:c>
      <x:c r="F29" s="42">
        <x:f t="shared" si="0"/>
        <x:v>0.1</x:v>
      </x:c>
      <x:c r="G29" s="38" t="str">
        <x:f t="shared" si="1"/>
        <x:v>课程作业或课程项目：2/20（10.0%）</x:v>
      </x:c>
      <x:c r="H29" s="38" t="str">
        <x:f>IF(D29=0,"本轮未覆盖",IF(D29&lt;=3,"小样本，仅作探索性描述",""))</x:f>
        <x:v>小样本，仅作探索性描述</x:v>
      </x:c>
      <x:c r="I29" s="44"/>
    </x:row>
    <x:row r="30" ht="34" customHeight="1">
      <x:c r="A30" s="37" t="s">
        <x:v>168</x:v>
      </x:c>
      <x:c r="B30" s="38" t="s">
        <x:v>127</x:v>
      </x:c>
      <x:c r="C30" s="39" t="s">
        <x:v>127</x:v>
      </x:c>
      <x:c r="D30" s="40" t="n">
        <x:f>COUNTIF(tbl_valid_samples[Q6_任务场景],B30)</x:f>
        <x:v>1</x:v>
      </x:c>
      <x:c r="E30" s="41" t="n">
        <x:f>COUNTIF(tbl_valid_samples[include_in_main_analysis],1)</x:f>
        <x:v>20</x:v>
      </x:c>
      <x:c r="F30" s="42">
        <x:f t="shared" si="0"/>
        <x:v>0.05</x:v>
      </x:c>
      <x:c r="G30" s="38" t="str">
        <x:f t="shared" si="1"/>
        <x:v>科研实习或工作任务：1/20（5.0%）</x:v>
      </x:c>
      <x:c r="H30" s="38" t="str">
        <x:f>IF(D30=0,"本轮未覆盖",IF(D30&lt;=3,"小样本，仅作探索性描述",""))</x:f>
        <x:v>小样本，仅作探索性描述</x:v>
      </x:c>
      <x:c r="I30" s="44"/>
    </x:row>
    <x:row r="31" ht="34" customHeight="1">
      <x:c r="A31" s="37" t="s">
        <x:v>168</x:v>
      </x:c>
      <x:c r="B31" s="38" t="s">
        <x:v>171</x:v>
      </x:c>
      <x:c r="C31" s="39" t="s">
        <x:v>171</x:v>
      </x:c>
      <x:c r="D31" s="40" t="n">
        <x:f>COUNTIF(tbl_valid_samples[Q6_任务场景],B31)</x:f>
        <x:v>0</x:v>
      </x:c>
      <x:c r="E31" s="41" t="n">
        <x:f>COUNTIF(tbl_valid_samples[include_in_main_analysis],1)</x:f>
        <x:v>20</x:v>
      </x:c>
      <x:c r="F31" s="42">
        <x:f t="shared" si="0"/>
        <x:v>0</x:v>
      </x:c>
      <x:c r="G31" s="38" t="str">
        <x:f t="shared" si="1"/>
        <x:v>个人技术学习或能力提升：0/20（0.0%）</x:v>
      </x:c>
      <x:c r="H31" s="38" t="str">
        <x:f>IF(D31=0,"本轮未覆盖",IF(D31&lt;=3,"小样本，仅作探索性描述",""))</x:f>
        <x:v>本轮未覆盖</x:v>
      </x:c>
      <x:c r="I31" s="44"/>
    </x:row>
    <x:row r="32" ht="34" customHeight="1">
      <x:c r="A32" s="37" t="s">
        <x:v>168</x:v>
      </x:c>
      <x:c r="B32" s="38" t="s">
        <x:v>172</x:v>
      </x:c>
      <x:c r="C32" s="39" t="s">
        <x:v>172</x:v>
      </x:c>
      <x:c r="D32" s="40" t="n">
        <x:f>COUNTIF(tbl_valid_samples[Q6_任务场景],B32)</x:f>
        <x:v>0</x:v>
      </x:c>
      <x:c r="E32" s="41" t="n">
        <x:f>COUNTIF(tbl_valid_samples[include_in_main_analysis],1)</x:f>
        <x:v>20</x:v>
      </x:c>
      <x:c r="F32" s="42">
        <x:f t="shared" si="0"/>
        <x:v>0</x:v>
      </x:c>
      <x:c r="G32" s="38" t="str">
        <x:f t="shared" si="1"/>
        <x:v>竞赛或求职项目：0/20（0.0%）</x:v>
      </x:c>
      <x:c r="H32" s="38" t="str">
        <x:f>IF(D32=0,"本轮未覆盖",IF(D32&lt;=3,"小样本，仅作探索性描述",""))</x:f>
        <x:v>本轮未覆盖</x:v>
      </x:c>
      <x:c r="I32" s="44"/>
    </x:row>
    <x:row r="33" ht="52" customHeight="1">
      <x:c r="A33" s="37" t="s">
        <x:v>168</x:v>
      </x:c>
      <x:c r="B33" s="38" t="s">
        <x:v>99</x:v>
      </x:c>
      <x:c r="C33" s="39" t="s">
        <x:v>99</x:v>
      </x:c>
      <x:c r="D33" s="40" t="n">
        <x:f>COUNTIF(tbl_valid_samples[Q6_任务场景],B33)</x:f>
        <x:v>0</x:v>
      </x:c>
      <x:c r="E33" s="41" t="n">
        <x:f>COUNTIF(tbl_valid_samples[include_in_main_analysis],1)</x:f>
        <x:v>20</x:v>
      </x:c>
      <x:c r="F33" s="42">
        <x:f t="shared" si="0"/>
        <x:v>0</x:v>
      </x:c>
      <x:c r="G33" s="38" t="str">
        <x:f t="shared" si="1"/>
        <x:v>其他：0/20（0.0%）</x:v>
      </x:c>
      <x:c r="H33" s="38" t="s">
        <x:v>173</x:v>
      </x:c>
      <x:c r="I33" s="44"/>
    </x:row>
    <x:row r="34" ht="42" customHeight="1">
      <x:c r="A34" s="37" t="s">
        <x:v>174</x:v>
      </x:c>
      <x:c r="B34" s="38" t="s">
        <x:v>71</x:v>
      </x:c>
      <x:c r="C34" s="39" t="s">
        <x:v>175</x:v>
      </x:c>
      <x:c r="D34" s="40" t="n">
        <x:f>COUNTIF(tbl_valid_samples[Q7_最近复现结果],B34)</x:f>
        <x:v>10</x:v>
      </x:c>
      <x:c r="E34" s="41" t="n">
        <x:f>COUNTIF(tbl_valid_samples[include_in_main_analysis],1)</x:f>
        <x:v>20</x:v>
      </x:c>
      <x:c r="F34" s="42">
        <x:f t="shared" si="0"/>
        <x:v>0.5</x:v>
      </x:c>
      <x:c r="G34" s="38" t="str">
        <x:f t="shared" si="1"/>
        <x:v>完整跑通并接近目标：10/20（50.0%）</x:v>
      </x:c>
      <x:c r="H34" s="38" t="str">
        <x:f>IF(D34=0,"本轮未覆盖",IF(D34&lt;=3,"小样本，仅作探索性描述",""))</x:f>
      </x:c>
    </x:row>
    <x:row r="35" ht="42" customHeight="1">
      <x:c r="A35" s="37" t="s">
        <x:v>174</x:v>
      </x:c>
      <x:c r="B35" s="38" t="s">
        <x:v>78</x:v>
      </x:c>
      <x:c r="C35" s="39" t="s">
        <x:v>176</x:v>
      </x:c>
      <x:c r="D35" s="40" t="n">
        <x:f>COUNTIF(tbl_valid_samples[Q7_最近复现结果],B35)</x:f>
        <x:v>6</x:v>
      </x:c>
      <x:c r="E35" s="41" t="n">
        <x:f>COUNTIF(tbl_valid_samples[include_in_main_analysis],1)</x:f>
        <x:v>20</x:v>
      </x:c>
      <x:c r="F35" s="42">
        <x:f t="shared" si="0"/>
        <x:v>0.3</x:v>
      </x:c>
      <x:c r="G35" s="38" t="str">
        <x:f t="shared" si="1"/>
        <x:v>跑通但结果明显不一致：6/20（30.0%）</x:v>
      </x:c>
      <x:c r="H35" s="38" t="str">
        <x:f>IF(D35=0,"本轮未覆盖",IF(D35&lt;=3,"小样本，仅作探索性描述",""))</x:f>
      </x:c>
    </x:row>
    <x:row r="36" ht="42" customHeight="1">
      <x:c r="A36" s="37" t="s">
        <x:v>174</x:v>
      </x:c>
      <x:c r="B36" s="38" t="s">
        <x:v>96</x:v>
      </x:c>
      <x:c r="C36" s="39" t="s">
        <x:v>177</x:v>
      </x:c>
      <x:c r="D36" s="40" t="n">
        <x:f>COUNTIF(tbl_valid_samples[Q7_最近复现结果],B36)</x:f>
        <x:v>4</x:v>
      </x:c>
      <x:c r="E36" s="41" t="n">
        <x:f>COUNTIF(tbl_valid_samples[include_in_main_analysis],1)</x:f>
        <x:v>20</x:v>
      </x:c>
      <x:c r="F36" s="42">
        <x:f t="shared" si="0"/>
        <x:v>0.2</x:v>
      </x:c>
      <x:c r="G36" s="38" t="str">
        <x:f t="shared" si="1"/>
        <x:v>只跑通部分流程：4/20（20.0%）</x:v>
      </x:c>
      <x:c r="H36" s="38" t="str">
        <x:f>IF(D36=0,"本轮未覆盖",IF(D36&lt;=3,"小样本，仅作探索性描述",""))</x:f>
      </x:c>
    </x:row>
    <x:row r="37" ht="42" customHeight="1">
      <x:c r="A37" s="37" t="s">
        <x:v>174</x:v>
      </x:c>
      <x:c r="B37" s="38" t="s">
        <x:v>178</x:v>
      </x:c>
      <x:c r="C37" s="39" t="s">
        <x:v>179</x:v>
      </x:c>
      <x:c r="D37" s="40" t="n">
        <x:f>COUNTIF(tbl_valid_samples[Q7_最近复现结果],B37)</x:f>
        <x:v>0</x:v>
      </x:c>
      <x:c r="E37" s="41" t="n">
        <x:f>COUNTIF(tbl_valid_samples[include_in_main_analysis],1)</x:f>
        <x:v>20</x:v>
      </x:c>
      <x:c r="F37" s="42">
        <x:f t="shared" si="0"/>
        <x:v>0</x:v>
      </x:c>
      <x:c r="G37" s="38" t="str">
        <x:f t="shared" si="1"/>
        <x:v>暂停或放弃：0/20（0.0%）</x:v>
      </x:c>
      <x:c r="H37" s="38" t="str">
        <x:f>IF(D37=0,"本轮未覆盖",IF(D37&lt;=3,"小样本，仅作探索性描述",""))</x:f>
        <x:v>本轮未覆盖</x:v>
      </x:c>
    </x:row>
    <x:row r="38" ht="42" customHeight="1">
      <x:c r="A38" s="37" t="s">
        <x:v>174</x:v>
      </x:c>
      <x:c r="B38" s="38" t="s">
        <x:v>180</x:v>
      </x:c>
      <x:c r="C38" s="39" t="s">
        <x:v>181</x:v>
      </x:c>
      <x:c r="D38" s="40" t="n">
        <x:f>COUNTIF(tbl_valid_samples[Q7_最近复现结果],B38)</x:f>
        <x:v>0</x:v>
      </x:c>
      <x:c r="E38" s="41" t="n">
        <x:f>COUNTIF(tbl_valid_samples[include_in_main_analysis],1)</x:f>
        <x:v>20</x:v>
      </x:c>
      <x:c r="F38" s="42">
        <x:f t="shared" si="0"/>
        <x:v>0</x:v>
      </x:c>
      <x:c r="G38" s="38" t="str">
        <x:f t="shared" si="1"/>
        <x:v>仍在进行：0/20（0.0%）</x:v>
      </x:c>
      <x:c r="H38" s="38" t="str">
        <x:f>IF(D38=0,"本轮未覆盖",IF(D38&lt;=3,"小样本，仅作探索性描述",""))</x:f>
        <x:v>本轮未覆盖</x:v>
      </x:c>
    </x:row>
    <x:row r="39">
      <x:c r="C39" s="45"/>
      <x:c r="D39" s="45"/>
      <x:c r="E39" s="46"/>
    </x:row>
    <x:row r="40">
      <x:c r="C40" s="45"/>
      <x:c r="D40" s="45"/>
      <x:c r="E40" s="46"/>
    </x:row>
    <x:row r="41">
      <x:c r="C41" s="45"/>
      <x:c r="D41" s="45"/>
      <x:c r="E41" s="46"/>
    </x:row>
    <x:row r="42">
      <x:c r="C42" s="45"/>
      <x:c r="D42" s="45"/>
      <x:c r="E42" s="46"/>
    </x:row>
    <x:row r="43">
      <x:c r="C43" s="45"/>
      <x:c r="D43" s="45"/>
      <x:c r="E43" s="46"/>
    </x:row>
    <x:row r="44">
      <x:c r="C44" s="45"/>
      <x:c r="D44" s="45"/>
      <x:c r="E44" s="46"/>
    </x:row>
    <x:row r="45">
      <x:c r="C45" s="45"/>
      <x:c r="D45" s="45"/>
      <x:c r="E45" s="46"/>
    </x:row>
    <x:row r="46">
      <x:c r="C46" s="45"/>
      <x:c r="D46" s="45"/>
      <x:c r="E46" s="46"/>
    </x:row>
    <x:row r="47">
      <x:c r="C47" s="45"/>
      <x:c r="D47" s="45"/>
      <x:c r="E47" s="46"/>
    </x:row>
    <x:row r="48">
      <x:c r="C48" s="45"/>
      <x:c r="D48" s="45"/>
      <x:c r="E48" s="46"/>
    </x:row>
    <x:row r="49">
      <x:c r="C49" s="45"/>
      <x:c r="D49" s="45"/>
      <x:c r="E49" s="46"/>
    </x:row>
    <x:row r="50">
      <x:c r="C50" s="45"/>
      <x:c r="D50" s="45"/>
      <x:c r="E50" s="46"/>
    </x:row>
    <x:row r="51">
      <x:c r="C51" s="45"/>
      <x:c r="D51" s="45"/>
      <x:c r="E51" s="46"/>
    </x:row>
    <x:row r="52">
      <x:c r="C52" s="45"/>
      <x:c r="D52" s="45"/>
      <x:c r="E52" s="46"/>
    </x:row>
    <x:row r="53">
      <x:c r="C53" s="45"/>
      <x:c r="D53" s="45"/>
      <x:c r="E53" s="46"/>
    </x:row>
    <x:row r="54">
      <x:c r="C54" s="45"/>
      <x:c r="D54" s="45"/>
      <x:c r="E54" s="46"/>
    </x:row>
    <x:row r="55">
      <x:c r="C55" s="45"/>
      <x:c r="D55" s="45"/>
      <x:c r="E55" s="46"/>
    </x:row>
    <x:row r="56">
      <x:c r="C56" s="45"/>
      <x:c r="D56" s="45"/>
      <x:c r="E56" s="46"/>
    </x:row>
    <x:row r="57">
      <x:c r="C57" s="45"/>
      <x:c r="D57" s="45"/>
      <x:c r="E57" s="46"/>
    </x:row>
    <x:row r="58">
      <x:c r="C58" s="45"/>
      <x:c r="D58" s="45"/>
      <x:c r="E58" s="46"/>
    </x:row>
    <x:row r="59">
      <x:c r="C59" s="45"/>
      <x:c r="D59" s="45"/>
      <x:c r="E59" s="46"/>
    </x:row>
    <x:row r="60">
      <x:c r="C60" s="45"/>
      <x:c r="D60" s="45"/>
      <x:c r="E60" s="46"/>
    </x:row>
    <x:row r="61">
      <x:c r="C61" s="45"/>
      <x:c r="D61" s="45"/>
      <x:c r="E61" s="46"/>
    </x:row>
    <x:row r="62">
      <x:c r="C62" s="45"/>
      <x:c r="D62" s="45"/>
      <x:c r="E62" s="46"/>
    </x:row>
    <x:row r="63">
      <x:c r="C63" s="45"/>
      <x:c r="D63" s="45"/>
      <x:c r="E63" s="46"/>
    </x:row>
    <x:row r="64">
      <x:c r="C64" s="45"/>
      <x:c r="D64" s="45"/>
      <x:c r="E64" s="46"/>
    </x:row>
    <x:row r="65">
      <x:c r="C65" s="45"/>
      <x:c r="D65" s="45"/>
      <x:c r="E65" s="46"/>
    </x:row>
    <x:row r="66">
      <x:c r="C66" s="45"/>
      <x:c r="D66" s="45"/>
      <x:c r="E66" s="46"/>
    </x:row>
    <x:row r="67">
      <x:c r="C67" s="45"/>
      <x:c r="D67" s="45"/>
      <x:c r="E67" s="46"/>
    </x:row>
    <x:row r="68">
      <x:c r="C68" s="45"/>
      <x:c r="D68" s="45"/>
      <x:c r="E68" s="46"/>
    </x:row>
    <x:row r="69">
      <x:c r="C69" s="45"/>
      <x:c r="D69" s="45"/>
      <x:c r="E69" s="46"/>
    </x:row>
    <x:row r="70">
      <x:c r="C70" s="45"/>
      <x:c r="D70" s="45"/>
      <x:c r="E70" s="46"/>
    </x:row>
    <x:row r="71">
      <x:c r="C71" s="45"/>
      <x:c r="D71" s="45"/>
      <x:c r="E71" s="46"/>
    </x:row>
    <x:row r="72">
      <x:c r="C72" s="45"/>
      <x:c r="D72" s="45"/>
      <x:c r="E72" s="46"/>
    </x:row>
    <x:row r="73">
      <x:c r="C73" s="45"/>
      <x:c r="D73" s="45"/>
      <x:c r="E73" s="46"/>
    </x:row>
    <x:row r="74">
      <x:c r="C74" s="45"/>
      <x:c r="D74" s="45"/>
      <x:c r="E74" s="46"/>
    </x:row>
    <x:row r="75">
      <x:c r="C75" s="45"/>
      <x:c r="D75" s="45"/>
      <x:c r="E75" s="46"/>
    </x:row>
    <x:row r="76">
      <x:c r="C76" s="45"/>
      <x:c r="D76" s="45"/>
      <x:c r="E76" s="46"/>
    </x:row>
    <x:row r="77">
      <x:c r="C77" s="45"/>
      <x:c r="D77" s="45"/>
      <x:c r="E77" s="46"/>
    </x:row>
    <x:row r="78">
      <x:c r="C78" s="45"/>
      <x:c r="D78" s="45"/>
      <x:c r="E78" s="46"/>
    </x:row>
    <x:row r="79">
      <x:c r="C79" s="45"/>
      <x:c r="D79" s="45"/>
      <x:c r="E79" s="46"/>
    </x:row>
    <x:row r="80">
      <x:c r="C80" s="45"/>
      <x:c r="D80" s="45"/>
      <x:c r="E80" s="46"/>
    </x:row>
    <x:row r="81">
      <x:c r="C81" s="45"/>
      <x:c r="D81" s="45"/>
      <x:c r="E81" s="46"/>
    </x:row>
    <x:row r="82">
      <x:c r="C82" s="45"/>
      <x:c r="D82" s="45"/>
      <x:c r="E82" s="46"/>
    </x:row>
    <x:row r="83">
      <x:c r="C83" s="45"/>
      <x:c r="D83" s="45"/>
      <x:c r="E83" s="46"/>
    </x:row>
    <x:row r="84">
      <x:c r="C84" s="45"/>
      <x:c r="D84" s="45"/>
      <x:c r="E84" s="46"/>
    </x:row>
    <x:row r="85">
      <x:c r="C85" s="45"/>
      <x:c r="D85" s="45"/>
      <x:c r="E85" s="46"/>
    </x:row>
    <x:row r="86">
      <x:c r="C86" s="45"/>
      <x:c r="D86" s="45"/>
      <x:c r="E86" s="46"/>
    </x:row>
    <x:row r="87">
      <x:c r="C87" s="45"/>
      <x:c r="D87" s="45"/>
      <x:c r="E87" s="46"/>
    </x:row>
    <x:row r="88">
      <x:c r="C88" s="45"/>
      <x:c r="D88" s="45"/>
      <x:c r="E88" s="46"/>
    </x:row>
    <x:row r="89">
      <x:c r="C89" s="45"/>
      <x:c r="D89" s="45"/>
      <x:c r="E89" s="46"/>
    </x:row>
    <x:row r="90">
      <x:c r="C90" s="45"/>
      <x:c r="D90" s="45"/>
      <x:c r="E90" s="46"/>
    </x:row>
    <x:row r="91">
      <x:c r="C91" s="45"/>
      <x:c r="D91" s="45"/>
      <x:c r="E91" s="46"/>
    </x:row>
    <x:row r="92">
      <x:c r="C92" s="45"/>
      <x:c r="D92" s="45"/>
      <x:c r="E92" s="46"/>
    </x:row>
    <x:row r="93">
      <x:c r="C93" s="45"/>
      <x:c r="D93" s="45"/>
      <x:c r="E93" s="46"/>
    </x:row>
    <x:row r="94">
      <x:c r="C94" s="45"/>
      <x:c r="D94" s="45"/>
      <x:c r="E94" s="46"/>
    </x:row>
    <x:row r="95">
      <x:c r="C95" s="45"/>
      <x:c r="D95" s="45"/>
      <x:c r="E95" s="46"/>
    </x:row>
    <x:row r="96">
      <x:c r="C96" s="45"/>
      <x:c r="D96" s="45"/>
      <x:c r="E96" s="46"/>
    </x:row>
    <x:row r="97">
      <x:c r="C97" s="45"/>
      <x:c r="D97" s="45"/>
      <x:c r="E97" s="46"/>
    </x:row>
    <x:row r="98">
      <x:c r="C98" s="45"/>
      <x:c r="D98" s="45"/>
      <x:c r="E98" s="46"/>
    </x:row>
    <x:row r="99">
      <x:c r="C99" s="45"/>
      <x:c r="D99" s="45"/>
      <x:c r="E99" s="46"/>
    </x:row>
    <x:row r="100">
      <x:c r="C100" s="45"/>
      <x:c r="D100" s="45"/>
      <x:c r="E100" s="46"/>
    </x:row>
    <x:row r="101">
      <x:c r="C101" s="45"/>
      <x:c r="D101" s="45"/>
      <x:c r="E101" s="46"/>
    </x:row>
    <x:row r="102">
      <x:c r="C102" s="45"/>
      <x:c r="D102" s="45"/>
      <x:c r="E102" s="46"/>
    </x:row>
    <x:row r="103">
      <x:c r="C103" s="45"/>
      <x:c r="D103" s="45"/>
      <x:c r="E103" s="46"/>
    </x:row>
    <x:row r="104">
      <x:c r="C104" s="45"/>
      <x:c r="D104" s="45"/>
      <x:c r="E104" s="46"/>
    </x:row>
    <x:row r="105">
      <x:c r="C105" s="45"/>
      <x:c r="D105" s="45"/>
      <x:c r="E105" s="46"/>
    </x:row>
    <x:row r="106">
      <x:c r="C106" s="45"/>
      <x:c r="D106" s="45"/>
      <x:c r="E106" s="46"/>
    </x:row>
    <x:row r="107">
      <x:c r="C107" s="45"/>
      <x:c r="D107" s="45"/>
      <x:c r="E107" s="46"/>
    </x:row>
    <x:row r="108">
      <x:c r="C108" s="45"/>
      <x:c r="D108" s="45"/>
      <x:c r="E108" s="46"/>
    </x:row>
    <x:row r="109">
      <x:c r="C109" s="45"/>
      <x:c r="D109" s="45"/>
      <x:c r="E109" s="46"/>
    </x:row>
    <x:row r="110">
      <x:c r="C110" s="45"/>
      <x:c r="D110" s="45"/>
      <x:c r="E110" s="46"/>
    </x:row>
    <x:row r="111">
      <x:c r="C111" s="45"/>
      <x:c r="D111" s="45"/>
      <x:c r="E111" s="46"/>
    </x:row>
    <x:row r="112">
      <x:c r="C112" s="45"/>
      <x:c r="D112" s="45"/>
      <x:c r="E112" s="46"/>
    </x:row>
    <x:row r="113">
      <x:c r="C113" s="45"/>
      <x:c r="D113" s="45"/>
      <x:c r="E113" s="46"/>
    </x:row>
    <x:row r="114">
      <x:c r="C114" s="45"/>
      <x:c r="D114" s="45"/>
      <x:c r="E114" s="46"/>
    </x:row>
    <x:row r="115">
      <x:c r="C115" s="45"/>
      <x:c r="D115" s="45"/>
      <x:c r="E115" s="46"/>
    </x:row>
    <x:row r="116">
      <x:c r="C116" s="45"/>
      <x:c r="D116" s="45"/>
      <x:c r="E116" s="46"/>
    </x:row>
    <x:row r="117">
      <x:c r="C117" s="45"/>
      <x:c r="D117" s="45"/>
      <x:c r="E117" s="46"/>
    </x:row>
    <x:row r="118">
      <x:c r="C118" s="45"/>
      <x:c r="D118" s="45"/>
      <x:c r="E118" s="46"/>
    </x:row>
    <x:row r="119">
      <x:c r="C119" s="45"/>
      <x:c r="D119" s="45"/>
      <x:c r="E119" s="46"/>
    </x:row>
    <x:row r="120">
      <x:c r="C120" s="45"/>
      <x:c r="D120" s="45"/>
      <x:c r="E120" s="46"/>
    </x:row>
    <x:row r="121">
      <x:c r="C121" s="45"/>
      <x:c r="D121" s="45"/>
      <x:c r="E121" s="46"/>
    </x:row>
    <x:row r="122">
      <x:c r="C122" s="45"/>
      <x:c r="D122" s="45"/>
      <x:c r="E122" s="46"/>
    </x:row>
    <x:row r="123">
      <x:c r="C123" s="45"/>
      <x:c r="D123" s="45"/>
      <x:c r="E123" s="46"/>
    </x:row>
    <x:row r="124">
      <x:c r="C124" s="45"/>
      <x:c r="D124" s="45"/>
      <x:c r="E124" s="46"/>
    </x:row>
    <x:row r="125">
      <x:c r="C125" s="45"/>
      <x:c r="D125" s="45"/>
      <x:c r="E125" s="46"/>
    </x:row>
    <x:row r="126">
      <x:c r="C126" s="45"/>
      <x:c r="D126" s="45"/>
      <x:c r="E126" s="46"/>
    </x:row>
    <x:row r="127">
      <x:c r="C127" s="45"/>
      <x:c r="D127" s="45"/>
      <x:c r="E127" s="46"/>
    </x:row>
    <x:row r="128">
      <x:c r="C128" s="45"/>
      <x:c r="D128" s="45"/>
      <x:c r="E128" s="46"/>
    </x:row>
    <x:row r="129">
      <x:c r="C129" s="45"/>
      <x:c r="D129" s="45"/>
      <x:c r="E129" s="46"/>
    </x:row>
    <x:row r="130">
      <x:c r="C130" s="45"/>
      <x:c r="D130" s="45"/>
      <x:c r="E130" s="46"/>
    </x:row>
    <x:row r="131">
      <x:c r="C131" s="45"/>
      <x:c r="D131" s="45"/>
      <x:c r="E131" s="46"/>
    </x:row>
    <x:row r="132">
      <x:c r="C132" s="45"/>
      <x:c r="D132" s="45"/>
      <x:c r="E132" s="46"/>
    </x:row>
    <x:row r="133">
      <x:c r="C133" s="45"/>
      <x:c r="D133" s="45"/>
      <x:c r="E133" s="46"/>
    </x:row>
    <x:row r="134">
      <x:c r="C134" s="45"/>
      <x:c r="D134" s="45"/>
      <x:c r="E134" s="46"/>
    </x:row>
    <x:row r="135">
      <x:c r="C135" s="45"/>
      <x:c r="D135" s="45"/>
      <x:c r="E135" s="46"/>
    </x:row>
    <x:row r="136">
      <x:c r="C136" s="45"/>
      <x:c r="D136" s="45"/>
      <x:c r="E136" s="46"/>
    </x:row>
    <x:row r="137">
      <x:c r="C137" s="45"/>
      <x:c r="D137" s="45"/>
      <x:c r="E137" s="46"/>
    </x:row>
    <x:row r="138">
      <x:c r="C138" s="45"/>
      <x:c r="D138" s="45"/>
      <x:c r="E138" s="46"/>
    </x:row>
    <x:row r="139">
      <x:c r="C139" s="45"/>
      <x:c r="D139" s="45"/>
      <x:c r="E139" s="46"/>
    </x:row>
    <x:row r="140">
      <x:c r="C140" s="45"/>
      <x:c r="D140" s="45"/>
      <x:c r="E140" s="46"/>
    </x:row>
    <x:row r="141">
      <x:c r="C141" s="45"/>
      <x:c r="D141" s="45"/>
      <x:c r="E141" s="46"/>
    </x:row>
    <x:row r="142">
      <x:c r="C142" s="45"/>
      <x:c r="D142" s="45"/>
      <x:c r="E142" s="46"/>
    </x:row>
    <x:row r="143">
      <x:c r="C143" s="45"/>
      <x:c r="D143" s="45"/>
      <x:c r="E143" s="46"/>
    </x:row>
    <x:row r="144">
      <x:c r="C144" s="45"/>
      <x:c r="D144" s="45"/>
      <x:c r="E144" s="46"/>
    </x:row>
    <x:row r="145">
      <x:c r="C145" s="45"/>
      <x:c r="D145" s="45"/>
      <x:c r="E145" s="46"/>
    </x:row>
    <x:row r="146">
      <x:c r="C146" s="45"/>
      <x:c r="D146" s="45"/>
      <x:c r="E146" s="46"/>
    </x:row>
    <x:row r="147">
      <x:c r="C147" s="45"/>
      <x:c r="D147" s="45"/>
      <x:c r="E147" s="46"/>
    </x:row>
    <x:row r="148">
      <x:c r="C148" s="45"/>
      <x:c r="D148" s="45"/>
      <x:c r="E148" s="46"/>
    </x:row>
    <x:row r="149">
      <x:c r="C149" s="45"/>
      <x:c r="D149" s="45"/>
      <x:c r="E149" s="46"/>
    </x:row>
    <x:row r="150">
      <x:c r="C150" s="45"/>
      <x:c r="D150" s="45"/>
      <x:c r="E150" s="46"/>
    </x:row>
    <x:row r="151">
      <x:c r="C151" s="45"/>
      <x:c r="D151" s="45"/>
      <x:c r="E151" s="46"/>
    </x:row>
    <x:row r="152">
      <x:c r="C152" s="45"/>
      <x:c r="D152" s="45"/>
      <x:c r="E152" s="46"/>
    </x:row>
    <x:row r="153">
      <x:c r="C153" s="45"/>
      <x:c r="D153" s="45"/>
      <x:c r="E153" s="46"/>
    </x:row>
    <x:row r="154">
      <x:c r="C154" s="45"/>
      <x:c r="D154" s="45"/>
      <x:c r="E154" s="46"/>
    </x:row>
    <x:row r="155">
      <x:c r="C155" s="45"/>
      <x:c r="D155" s="45"/>
      <x:c r="E155" s="46"/>
    </x:row>
    <x:row r="156">
      <x:c r="C156" s="45"/>
      <x:c r="D156" s="45"/>
      <x:c r="E156" s="46"/>
    </x:row>
    <x:row r="157">
      <x:c r="C157" s="45"/>
      <x:c r="D157" s="45"/>
      <x:c r="E157" s="46"/>
    </x:row>
    <x:row r="158">
      <x:c r="C158" s="45"/>
      <x:c r="D158" s="45"/>
      <x:c r="E158" s="46"/>
    </x:row>
    <x:row r="159">
      <x:c r="C159" s="45"/>
      <x:c r="D159" s="45"/>
      <x:c r="E159" s="46"/>
    </x:row>
    <x:row r="160">
      <x:c r="C160" s="45"/>
      <x:c r="D160" s="45"/>
      <x:c r="E160" s="46"/>
    </x:row>
    <x:row r="161">
      <x:c r="C161" s="45"/>
      <x:c r="D161" s="45"/>
      <x:c r="E161" s="46"/>
    </x:row>
    <x:row r="162">
      <x:c r="C162" s="45"/>
      <x:c r="D162" s="45"/>
      <x:c r="E162" s="46"/>
    </x:row>
    <x:row r="163">
      <x:c r="C163" s="45"/>
      <x:c r="D163" s="45"/>
      <x:c r="E163" s="46"/>
    </x:row>
    <x:row r="164">
      <x:c r="C164" s="45"/>
      <x:c r="D164" s="45"/>
      <x:c r="E164" s="46"/>
    </x:row>
    <x:row r="165">
      <x:c r="C165" s="45"/>
      <x:c r="D165" s="45"/>
      <x:c r="E165" s="46"/>
    </x:row>
    <x:row r="166">
      <x:c r="C166" s="45"/>
      <x:c r="D166" s="45"/>
      <x:c r="E166" s="46"/>
    </x:row>
    <x:row r="167">
      <x:c r="C167" s="45"/>
      <x:c r="D167" s="45"/>
      <x:c r="E167" s="46"/>
    </x:row>
    <x:row r="168">
      <x:c r="C168" s="45"/>
      <x:c r="D168" s="45"/>
      <x:c r="E168" s="46"/>
    </x:row>
    <x:row r="169">
      <x:c r="C169" s="45"/>
      <x:c r="D169" s="45"/>
      <x:c r="E169" s="46"/>
    </x:row>
    <x:row r="170">
      <x:c r="C170" s="45"/>
      <x:c r="D170" s="45"/>
      <x:c r="E170" s="46"/>
    </x:row>
    <x:row r="171">
      <x:c r="C171" s="45"/>
      <x:c r="D171" s="45"/>
      <x:c r="E171" s="46"/>
    </x:row>
    <x:row r="172">
      <x:c r="C172" s="45"/>
      <x:c r="D172" s="45"/>
      <x:c r="E172" s="46"/>
    </x:row>
    <x:row r="173">
      <x:c r="C173" s="45"/>
      <x:c r="D173" s="45"/>
      <x:c r="E173" s="46"/>
    </x:row>
    <x:row r="174">
      <x:c r="C174" s="45"/>
      <x:c r="D174" s="45"/>
      <x:c r="E174" s="46"/>
    </x:row>
    <x:row r="175">
      <x:c r="C175" s="45"/>
      <x:c r="D175" s="45"/>
      <x:c r="E175" s="46"/>
    </x:row>
    <x:row r="176">
      <x:c r="C176" s="45"/>
      <x:c r="D176" s="45"/>
      <x:c r="E176" s="46"/>
    </x:row>
    <x:row r="177">
      <x:c r="C177" s="45"/>
      <x:c r="D177" s="45"/>
      <x:c r="E177" s="46"/>
    </x:row>
    <x:row r="178">
      <x:c r="C178" s="45"/>
      <x:c r="D178" s="45"/>
      <x:c r="E178" s="46"/>
    </x:row>
    <x:row r="179">
      <x:c r="C179" s="45"/>
      <x:c r="D179" s="45"/>
      <x:c r="E179" s="46"/>
    </x:row>
    <x:row r="180">
      <x:c r="C180" s="45"/>
      <x:c r="D180" s="45"/>
      <x:c r="E180" s="46"/>
    </x:row>
    <x:row r="181">
      <x:c r="C181" s="45"/>
      <x:c r="D181" s="45"/>
      <x:c r="E181" s="46"/>
    </x:row>
    <x:row r="182">
      <x:c r="C182" s="45"/>
      <x:c r="D182" s="45"/>
      <x:c r="E182" s="46"/>
    </x:row>
    <x:row r="183">
      <x:c r="C183" s="45"/>
      <x:c r="D183" s="45"/>
      <x:c r="E183" s="46"/>
    </x:row>
    <x:row r="184">
      <x:c r="C184" s="45"/>
      <x:c r="D184" s="45"/>
      <x:c r="E184" s="46"/>
    </x:row>
    <x:row r="185">
      <x:c r="C185" s="45"/>
      <x:c r="D185" s="45"/>
      <x:c r="E185" s="46"/>
    </x:row>
    <x:row r="186">
      <x:c r="C186" s="45"/>
      <x:c r="D186" s="45"/>
      <x:c r="E186" s="46"/>
    </x:row>
    <x:row r="187">
      <x:c r="C187" s="45"/>
      <x:c r="D187" s="45"/>
      <x:c r="E187" s="46"/>
    </x:row>
    <x:row r="188">
      <x:c r="C188" s="45"/>
      <x:c r="D188" s="45"/>
      <x:c r="E188" s="46"/>
    </x:row>
    <x:row r="189">
      <x:c r="C189" s="45"/>
      <x:c r="D189" s="45"/>
      <x:c r="E189" s="46"/>
    </x:row>
    <x:row r="190">
      <x:c r="C190" s="45"/>
      <x:c r="D190" s="45"/>
      <x:c r="E190" s="46"/>
    </x:row>
    <x:row r="191">
      <x:c r="C191" s="45"/>
      <x:c r="D191" s="45"/>
      <x:c r="E191" s="46"/>
    </x:row>
    <x:row r="192">
      <x:c r="C192" s="45"/>
      <x:c r="D192" s="45"/>
      <x:c r="E192" s="46"/>
    </x:row>
    <x:row r="193">
      <x:c r="C193" s="45"/>
      <x:c r="D193" s="45"/>
      <x:c r="E193" s="46"/>
    </x:row>
    <x:row r="194">
      <x:c r="C194" s="45"/>
      <x:c r="D194" s="45"/>
      <x:c r="E194" s="46"/>
    </x:row>
    <x:row r="195">
      <x:c r="C195" s="45"/>
      <x:c r="D195" s="45"/>
      <x:c r="E195" s="46"/>
    </x:row>
    <x:row r="196">
      <x:c r="C196" s="45"/>
      <x:c r="D196" s="45"/>
      <x:c r="E196" s="46"/>
    </x:row>
    <x:row r="197">
      <x:c r="C197" s="45"/>
      <x:c r="D197" s="45"/>
      <x:c r="E197" s="46"/>
    </x:row>
    <x:row r="198">
      <x:c r="C198" s="45"/>
      <x:c r="D198" s="45"/>
      <x:c r="E198" s="46"/>
    </x:row>
    <x:row r="199">
      <x:c r="C199" s="45"/>
      <x:c r="D199" s="45"/>
      <x:c r="E199" s="46"/>
    </x:row>
    <x:row r="200">
      <x:c r="C200" s="45"/>
      <x:c r="D200" s="45"/>
      <x:c r="E200" s="46"/>
    </x:row>
  </x:sheetData>
  <x:mergeCells>
    <x:mergeCell ref="I2:I8"/>
    <x:mergeCell ref="I9:I13"/>
    <x:mergeCell ref="I14:I19"/>
    <x:mergeCell ref="I21:I27"/>
    <x:mergeCell ref="I28:I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30" customWidth="1"/>
    <x:col min="2" max="2" width="12" customWidth="1"/>
    <x:col min="3" max="6" width="18" customWidth="1"/>
  </x:cols>
  <x:sheetData>
    <x:row r="1" ht="28" customHeight="1">
      <x:c r="A1" s="1" t="s">
        <x:v>182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3"/>
      <x:c r="AZ1" t="s">
        <x:v>137</x:v>
      </x:c>
      <x:c r="BA1" t="s">
        <x:v>138</x:v>
      </x:c>
      <x:c r="BD1" t="s">
        <x:v>137</x:v>
      </x:c>
      <x:c r="BE1" t="s">
        <x:v>138</x:v>
      </x:c>
      <x:c r="BH1" t="s">
        <x:v>137</x:v>
      </x:c>
      <x:c r="BI1" t="s">
        <x:v>138</x:v>
      </x:c>
      <x:c r="BL1" t="s">
        <x:v>137</x:v>
      </x:c>
      <x:c r="BM1" t="s">
        <x:v>138</x:v>
      </x:c>
      <x:c r="BP1" t="s">
        <x:v>137</x:v>
      </x:c>
      <x:c r="BQ1" t="s">
        <x:v>138</x:v>
      </x:c>
      <x:c r="BT1" t="s">
        <x:v>137</x:v>
      </x:c>
      <x:c r="BU1" t="s">
        <x:v>138</x:v>
      </x:c>
    </x:row>
    <x:row r="2" ht="28" customHeight="1">
      <x:c r="A2" s="4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6"/>
      <x:c r="AZ2" t="str">
        <x:f>'03_样本结构汇总'!C2</x:f>
        <x:v>本科生</x:v>
      </x:c>
      <x:c r="BA2" t="n">
        <x:f>'03_样本结构汇总'!D2</x:f>
        <x:v>2</x:v>
      </x:c>
      <x:c r="BD2" t="str">
        <x:f>'03_样本结构汇总'!C9</x:f>
        <x:v>0 次</x:v>
      </x:c>
      <x:c r="BE2" t="n">
        <x:f>'03_样本结构汇总'!D9</x:f>
        <x:v>1</x:v>
      </x:c>
      <x:c r="BH2" t="str">
        <x:f>'03_样本结构汇总'!C14</x:f>
        <x:v>计算机视觉</x:v>
      </x:c>
      <x:c r="BI2" t="n">
        <x:f>'03_样本结构汇总'!D14</x:f>
        <x:v>17</x:v>
      </x:c>
      <x:c r="BL2" t="str">
        <x:f>'03_样本结构汇总'!C22</x:f>
        <x:v>实验室/课题组共享 GPU 服务器</x:v>
      </x:c>
      <x:c r="BM2" t="n">
        <x:f>'03_样本结构汇总'!D22</x:f>
        <x:v>14</x:v>
      </x:c>
      <x:c r="BP2" t="str">
        <x:f>'03_样本结构汇总'!C28</x:f>
        <x:v>科研或学位课题</x:v>
      </x:c>
      <x:c r="BQ2" t="n">
        <x:f>'03_样本结构汇总'!D28</x:f>
        <x:v>17</x:v>
      </x:c>
      <x:c r="BT2" t="str">
        <x:f>'03_样本结构汇总'!C34</x:f>
        <x:v>完整跑通并接近目标</x:v>
      </x:c>
      <x:c r="BU2" t="n">
        <x:f>'03_样本结构汇总'!D34</x:f>
        <x:v>10</x:v>
      </x:c>
    </x:row>
    <x:row r="3" ht="28" customHeight="1">
      <x:c r="A3" s="7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9"/>
      <x:c r="AZ3" t="str">
        <x:f>'03_样本结构汇总'!C3</x:f>
        <x:v>硕士研究生</x:v>
      </x:c>
      <x:c r="BA3" t="n">
        <x:f>'03_样本结构汇总'!D3</x:f>
        <x:v>16</x:v>
      </x:c>
      <x:c r="BD3" t="str">
        <x:f>'03_样本结构汇总'!C10</x:f>
        <x:v>1 次</x:v>
      </x:c>
      <x:c r="BE3" t="n">
        <x:f>'03_样本结构汇总'!D10</x:f>
        <x:v>2</x:v>
      </x:c>
      <x:c r="BH3" t="str">
        <x:f>'03_样本结构汇总'!C15</x:f>
        <x:v>多模态</x:v>
      </x:c>
      <x:c r="BI3" t="n">
        <x:f>'03_样本结构汇总'!D15</x:f>
        <x:v>6</x:v>
      </x:c>
      <x:c r="BL3" t="str">
        <x:f>'03_样本结构汇总'!C23</x:f>
        <x:v>学校/学院计算中心服务器</x:v>
      </x:c>
      <x:c r="BM3" t="n">
        <x:f>'03_样本结构汇总'!D23</x:f>
        <x:v>7</x:v>
      </x:c>
      <x:c r="BP3" t="str">
        <x:f>'03_样本结构汇总'!C29</x:f>
        <x:v>课程作业或课程项目</x:v>
      </x:c>
      <x:c r="BQ3" t="n">
        <x:f>'03_样本结构汇总'!D29</x:f>
        <x:v>2</x:v>
      </x:c>
      <x:c r="BT3" t="str">
        <x:f>'03_样本结构汇总'!C35</x:f>
        <x:v>跑通但结果明显不一致</x:v>
      </x:c>
      <x:c r="BU3" t="n">
        <x:f>'03_样本结构汇总'!D35</x:f>
        <x:v>6</x:v>
      </x:c>
    </x:row>
    <x:row r="4" ht="24" customHeight="1">
      <x:c r="AZ4" t="str">
        <x:f>'03_样本结构汇总'!C4</x:f>
        <x:v>博士研究生</x:v>
      </x:c>
      <x:c r="BA4" t="n">
        <x:f>'03_样本结构汇总'!D4</x:f>
        <x:v>2</x:v>
      </x:c>
      <x:c r="BD4" t="str">
        <x:f>'03_样本结构汇总'!C11</x:f>
        <x:v>2—3 次</x:v>
      </x:c>
      <x:c r="BE4" t="n">
        <x:f>'03_样本结构汇总'!D11</x:f>
        <x:v>10</x:v>
      </x:c>
      <x:c r="BH4" t="str">
        <x:f>'03_样本结构汇总'!C16</x:f>
        <x:v>生成式 AI</x:v>
      </x:c>
      <x:c r="BI4" t="n">
        <x:f>'03_样本结构汇总'!D16</x:f>
        <x:v>2</x:v>
      </x:c>
      <x:c r="BL4" t="str">
        <x:f>'03_样本结构汇总'!C21</x:f>
        <x:v>本地单卡 GPU</x:v>
      </x:c>
      <x:c r="BM4" t="n">
        <x:f>'03_样本结构汇总'!D21</x:f>
        <x:v>6</x:v>
      </x:c>
      <x:c r="BP4" t="str">
        <x:f>'03_样本结构汇总'!C30</x:f>
        <x:v>科研实习或工作任务</x:v>
      </x:c>
      <x:c r="BQ4" t="n">
        <x:f>'03_样本结构汇总'!D30</x:f>
        <x:v>1</x:v>
      </x:c>
      <x:c r="BT4" t="str">
        <x:f>'03_样本结构汇总'!C36</x:f>
        <x:v>只跑通部分流程</x:v>
      </x:c>
      <x:c r="BU4" t="n">
        <x:f>'03_样本结构汇总'!D36</x:f>
        <x:v>4</x:v>
      </x:c>
    </x:row>
    <x:row r="5" ht="24" customHeight="1">
      <x:c r="AZ5" t="str">
        <x:f>'03_样本结构汇总'!C5</x:f>
        <x:v>科研实习生/研究助理</x:v>
      </x:c>
      <x:c r="BA5" t="n">
        <x:f>'03_样本结构汇总'!D5</x:f>
        <x:v>0</x:v>
      </x:c>
      <x:c r="BD5" t="str">
        <x:f>'03_样本结构汇总'!C12</x:f>
        <x:v>4—5 次</x:v>
      </x:c>
      <x:c r="BE5" t="n">
        <x:f>'03_样本结构汇总'!D12</x:f>
        <x:v>1</x:v>
      </x:c>
      <x:c r="BH5" t="str">
        <x:f>'03_样本结构汇总'!C19</x:f>
        <x:v>其他</x:v>
      </x:c>
      <x:c r="BI5" t="n">
        <x:f>'03_样本结构汇总'!D19</x:f>
        <x:v>2</x:v>
      </x:c>
      <x:c r="BL5" t="str">
        <x:f>'03_样本结构汇总'!C24</x:f>
        <x:v>商业云 GPU/算力租赁平台</x:v>
      </x:c>
      <x:c r="BM5" t="n">
        <x:f>'03_样本结构汇总'!D24</x:f>
        <x:v>4</x:v>
      </x:c>
      <x:c r="BP5" t="str">
        <x:f>'03_样本结构汇总'!C31</x:f>
        <x:v>个人技术学习或能力提升</x:v>
      </x:c>
      <x:c r="BQ5" t="n">
        <x:f>'03_样本结构汇总'!D31</x:f>
        <x:v>0</x:v>
      </x:c>
      <x:c r="BT5" t="str">
        <x:f>'03_样本结构汇总'!C37</x:f>
        <x:v>暂停或放弃</x:v>
      </x:c>
      <x:c r="BU5" t="n">
        <x:f>'03_样本结构汇总'!D37</x:f>
        <x:v>0</x:v>
      </x:c>
    </x:row>
    <x:row r="6" ht="24" customHeight="1">
      <x:c r="AZ6" t="str">
        <x:f>'03_样本结构汇总'!C6</x:f>
        <x:v>算法工程师/研究工程师</x:v>
      </x:c>
      <x:c r="BA6" t="n">
        <x:f>'03_样本结构汇总'!D6</x:f>
        <x:v>0</x:v>
      </x:c>
      <x:c r="BD6" t="str">
        <x:f>'03_样本结构汇总'!C13</x:f>
        <x:v>6 次及以上</x:v>
      </x:c>
      <x:c r="BE6" t="n">
        <x:f>'03_样本结构汇总'!D13</x:f>
        <x:v>6</x:v>
      </x:c>
      <x:c r="BH6" t="str">
        <x:f>'03_样本结构汇总'!C17</x:f>
        <x:v>NLP/大模型</x:v>
      </x:c>
      <x:c r="BI6" t="n">
        <x:f>'03_样本结构汇总'!D17</x:f>
        <x:v>1</x:v>
      </x:c>
      <x:c r="BL6" t="str">
        <x:f>'03_样本结构汇总'!C20</x:f>
        <x:v>本地 CPU/无独立显卡</x:v>
      </x:c>
      <x:c r="BM6" t="n">
        <x:f>'03_样本结构汇总'!D20</x:f>
        <x:v>3</x:v>
      </x:c>
      <x:c r="BP6" t="str">
        <x:f>'03_样本结构汇总'!C32</x:f>
        <x:v>竞赛或求职项目</x:v>
      </x:c>
      <x:c r="BQ6" t="n">
        <x:f>'03_样本结构汇总'!D32</x:f>
        <x:v>0</x:v>
      </x:c>
      <x:c r="BT6" t="str">
        <x:f>'03_样本结构汇总'!C38</x:f>
        <x:v>仍在进行</x:v>
      </x:c>
      <x:c r="BU6" t="n">
        <x:f>'03_样本结构汇总'!D38</x:f>
        <x:v>0</x:v>
      </x:c>
    </x:row>
    <x:row r="7" ht="24" customHeight="1">
      <x:c r="AZ7" t="str">
        <x:f>'03_样本结构汇总'!C7</x:f>
        <x:v>高校教师/全职科研人员</x:v>
      </x:c>
      <x:c r="BA7" t="n">
        <x:f>'03_样本结构汇总'!D7</x:f>
        <x:v>0</x:v>
      </x:c>
      <x:c r="BH7" t="str">
        <x:f>'03_样本结构汇总'!C18</x:f>
        <x:v>语音/音频</x:v>
      </x:c>
      <x:c r="BI7" t="n">
        <x:f>'03_样本结构汇总'!D18</x:f>
        <x:v>0</x:v>
      </x:c>
      <x:c r="BL7" t="str">
        <x:f>'03_样本结构汇总'!C25</x:f>
        <x:v>多卡 GPU 服务器</x:v>
      </x:c>
      <x:c r="BM7" t="n">
        <x:f>'03_样本结构汇总'!D25</x:f>
        <x:v>3</x:v>
      </x:c>
      <x:c r="BP7" t="str">
        <x:f>'03_样本结构汇总'!C33</x:f>
        <x:v>其他</x:v>
      </x:c>
      <x:c r="BQ7" t="n">
        <x:f>'03_样本结构汇总'!D33</x:f>
        <x:v>0</x:v>
      </x:c>
    </x:row>
    <x:row r="8" ht="24" customHeight="1">
      <x:c r="AZ8" t="str">
        <x:f>'03_样本结构汇总'!C8</x:f>
        <x:v>其他</x:v>
      </x:c>
      <x:c r="BA8" t="n">
        <x:f>'03_样本结构汇总'!D8</x:f>
        <x:v>0</x:v>
      </x:c>
      <x:c r="BL8" t="str">
        <x:f>'03_样本结构汇总'!C26</x:f>
        <x:v>环境或权限受限</x:v>
      </x:c>
      <x:c r="BM8" t="n">
        <x:f>'03_样本结构汇总'!D26</x:f>
        <x:v>0</x:v>
      </x:c>
    </x:row>
    <x:row r="9">
      <x:c r="BL9" t="str">
        <x:f>'03_样本结构汇总'!C27</x:f>
        <x:v>其他</x:v>
      </x:c>
      <x:c r="BM9" t="n">
        <x:f>'03_样本结构汇总'!D27</x:f>
        <x:v>0</x:v>
      </x:c>
    </x:row>
    <x:row r="36" ht="28" customHeight="1">
      <x:c r="A36" s="10" t="s">
        <x:v>183</x:v>
      </x:c>
      <x:c r="B36" s="11"/>
      <x:c r="C36" s="11"/>
      <x:c r="D36" s="11"/>
      <x:c r="E36" s="11"/>
      <x:c r="F36" s="11"/>
      <x:c r="G36" s="11"/>
      <x:c r="H36" s="12"/>
      <x:c r="J36" s="10" t="s">
        <x:v>183</x:v>
      </x:c>
      <x:c r="K36" s="11"/>
      <x:c r="L36" s="11"/>
      <x:c r="M36" s="11"/>
      <x:c r="N36" s="11"/>
      <x:c r="O36" s="11"/>
      <x:c r="P36" s="11"/>
      <x:c r="Q36" s="12"/>
    </x:row>
    <x:row r="37" ht="28" customHeight="1">
      <x:c r="A37" s="13"/>
      <x:c r="B37" s="14"/>
      <x:c r="C37" s="14"/>
      <x:c r="D37" s="14"/>
      <x:c r="E37" s="14"/>
      <x:c r="F37" s="14"/>
      <x:c r="G37" s="14"/>
      <x:c r="H37" s="15"/>
      <x:c r="J37" s="13"/>
      <x:c r="K37" s="14"/>
      <x:c r="L37" s="14"/>
      <x:c r="M37" s="14"/>
      <x:c r="N37" s="14"/>
      <x:c r="O37" s="14"/>
      <x:c r="P37" s="14"/>
      <x:c r="Q37" s="15"/>
    </x:row>
  </x:sheetData>
  <x:mergeCells>
    <x:mergeCell ref="A1:Q3"/>
    <x:mergeCell ref="A36:H37"/>
    <x:mergeCell ref="J36:Q37"/>
  </x:mergeCells>
  <x:pageMargins left="0.7" right="0.7" top="0.75" bottom="0.75" header="0.3" footer="0.3"/>
  <x:drawing xmlns:r="http://schemas.openxmlformats.org/officeDocument/2006/relationships" r:id="Rc6e814c8c85b400b"/>
</x:worksheet>
</file>