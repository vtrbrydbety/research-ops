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ResearchOps\05_Analysis_and_Decisions\20260806_Day6_Gate1_Decision_Pack\03_Pain_Point_Priority\"/>
    </mc:Choice>
  </mc:AlternateContent>
  <bookViews>
    <workbookView windowWidth="25600" windowHeight="10480"/>
  </bookViews>
  <sheets>
    <sheet name="01_初步痛点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<sst xmlns="http://schemas.openxmlformats.org/spreadsheetml/2006/main" count="132" uniqueCount="119">
  <si>
    <r>
      <t>初步痛点候选池</t>
    </r>
    <r>
      <rPr>
        <b/>
        <sz val="16"/>
        <color rgb="FFFFFFFF"/>
        <rFont val="Carlito"/>
        <charset val="134"/>
      </rPr>
      <t xml:space="preserve"> V0.2</t>
    </r>
    <r>
      <rPr>
        <b/>
        <sz val="16"/>
        <color rgb="FFFFFFFF"/>
        <rFont val="宋体"/>
        <charset val="134"/>
      </rPr>
      <t>｜</t>
    </r>
    <r>
      <rPr>
        <b/>
        <sz val="16"/>
        <color rgb="FFFFFFFF"/>
        <rFont val="Carlito"/>
        <charset val="134"/>
      </rPr>
      <t>ResearchOps Day 6</t>
    </r>
  </si>
  <si>
    <t>当前阶段：候选痛点池已冻结。探索性优先级分仅用于Gate 1内部候选排序，不是统计模型，也不代表市场需求强度；同分不代表需求程度完全相同。公开案例仅证明问题存在，不代表用户发生率。</t>
  </si>
  <si>
    <t>pain_id</t>
  </si>
  <si>
    <t>痛点层级</t>
  </si>
  <si>
    <t>痛点名称</t>
  </si>
  <si>
    <t>主要发生阶段</t>
  </si>
  <si>
    <t>问卷频率证据</t>
  </si>
  <si>
    <t>开放文本证据</t>
  </si>
  <si>
    <t>公开案例证据（仅Case ID）</t>
  </si>
  <si>
    <t>影响证据</t>
  </si>
  <si>
    <t>可提前发现性</t>
  </si>
  <si>
    <t>当前替代方案</t>
  </si>
  <si>
    <t>替代方案不足</t>
  </si>
  <si>
    <t>频率评分</t>
  </si>
  <si>
    <t>影响评分</t>
  </si>
  <si>
    <t>可提前发现评分</t>
  </si>
  <si>
    <t>替代方案不足评分</t>
  </si>
  <si>
    <t>探索性优先级分</t>
  </si>
  <si>
    <t>当前判断</t>
  </si>
  <si>
    <r>
      <t>反向证据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冲突证据</t>
    </r>
  </si>
  <si>
    <t>证据限制</t>
  </si>
  <si>
    <t>产品决策理由</t>
  </si>
  <si>
    <t>分数排序</t>
  </si>
  <si>
    <t>说明</t>
  </si>
  <si>
    <t>P-01</t>
  </si>
  <si>
    <t>前置条件</t>
  </si>
  <si>
    <t>数据获取、访问权限与路径要求难以提前确认</t>
  </si>
  <si>
    <t>复现前 / 下载与环境 / 数据准备</t>
  </si>
  <si>
    <t>Q11：数据或访问权限 7/20（35.0%）；命令、配置或路径说明缺失 5/20（25.0%）</t>
  </si>
  <si>
    <t>S-011：数据集获取（可提前发现）；S-015：数据集下载和预处理（部分可提前发现）。</t>
  </si>
  <si>
    <t>C-001、C-002、C-005、C-007、C-008</t>
  </si>
  <si>
    <t>阻塞运行：缺文件、缺索引、访问受限、格式/路径不匹配会中断数据准备或训练。</t>
  </si>
  <si>
    <t>是 / 部分</t>
  </si>
  <si>
    <t>查 README、下载页和 Issue；手动核对目录、文件、metadata 与预处理结果。</t>
  </si>
  <si>
    <t>中等：Q13为整体工具不足证据，S-011/S-015提供数据场景线索，但未直接评价替代方案解决效果。</t>
  </si>
  <si>
    <t>P0候选</t>
  </si>
  <si>
    <r>
      <t xml:space="preserve">1. </t>
    </r>
    <r>
      <rPr>
        <sz val="10"/>
        <color rgb="FF1F2937"/>
        <rFont val="宋体"/>
        <charset val="134"/>
      </rPr>
      <t>数据问题开放文本数量有限，仅有</t>
    </r>
    <r>
      <rPr>
        <sz val="10"/>
        <color rgb="FF1F2937"/>
        <rFont val="Carlito"/>
        <charset val="134"/>
      </rPr>
      <t>S-011</t>
    </r>
    <r>
      <rPr>
        <sz val="10"/>
        <color rgb="FF1F2937"/>
        <rFont val="宋体"/>
        <charset val="134"/>
      </rPr>
      <t>和</t>
    </r>
    <r>
      <rPr>
        <sz val="10"/>
        <color rgb="FF1F2937"/>
        <rFont val="Carlito"/>
        <charset val="134"/>
      </rPr>
      <t>S-015</t>
    </r>
    <r>
      <rPr>
        <sz val="10"/>
        <color rgb="FF1F2937"/>
        <rFont val="宋体"/>
        <charset val="134"/>
      </rPr>
      <t>直接涉及；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部分用户可能通过</t>
    </r>
    <r>
      <rPr>
        <sz val="10"/>
        <color rgb="FF1F2937"/>
        <rFont val="Carlito"/>
        <charset val="134"/>
      </rPr>
      <t>README</t>
    </r>
    <r>
      <rPr>
        <sz val="10"/>
        <color rgb="FF1F2937"/>
        <rFont val="宋体"/>
        <charset val="134"/>
      </rPr>
      <t>、官网和</t>
    </r>
    <r>
      <rPr>
        <sz val="10"/>
        <color rgb="FF1F2937"/>
        <rFont val="Carlito"/>
        <charset val="134"/>
      </rPr>
      <t>Issue</t>
    </r>
    <r>
      <rPr>
        <sz val="10"/>
        <color rgb="FF1F2937"/>
        <rFont val="宋体"/>
        <charset val="134"/>
      </rPr>
      <t>自行完成确认；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当前证据证明问题存在，但未验证自动检查准确率。</t>
    </r>
  </si>
  <si>
    <t>样本主要为研究生和CV用户，且问卷为自陈；开放文本详细描述有限；公开案例仅证明问题存在，不证明用户发生率。数据问题的开放文本仅有S-011、S-015两条过程线索。</t>
  </si>
  <si>
    <r>
      <t>进入</t>
    </r>
    <r>
      <rPr>
        <b/>
        <sz val="11"/>
        <color rgb="FF1F4E78"/>
        <rFont val="Carlito"/>
        <charset val="134"/>
      </rPr>
      <t>P0</t>
    </r>
    <r>
      <rPr>
        <b/>
        <sz val="11"/>
        <color rgb="FF1F4E78"/>
        <rFont val="宋体"/>
        <charset val="134"/>
      </rPr>
      <t>。数据可用性属于复现前关键决策条件，具有明确提前发现价值。</t>
    </r>
    <r>
      <rPr>
        <b/>
        <sz val="11"/>
        <color rgb="FF1F4E78"/>
        <rFont val="Carlito"/>
        <charset val="134"/>
      </rPr>
      <t>ResearchOps</t>
    </r>
    <r>
      <rPr>
        <b/>
        <sz val="11"/>
        <color rgb="FF1F4E78"/>
        <rFont val="宋体"/>
        <charset val="134"/>
      </rPr>
      <t>可以通过数据访问状态、路径要求和准备检查降低用户投入风险。</t>
    </r>
  </si>
  <si>
    <r>
      <t xml:space="preserve">P0 </t>
    </r>
    <r>
      <rPr>
        <sz val="11"/>
        <rFont val="宋体"/>
        <charset val="134"/>
      </rPr>
      <t>不是</t>
    </r>
    <r>
      <rPr>
        <sz val="11"/>
        <rFont val="Carlito"/>
        <charset val="134"/>
      </rPr>
      <t xml:space="preserve"> 4 </t>
    </r>
    <r>
      <rPr>
        <sz val="11"/>
        <rFont val="宋体"/>
        <charset val="134"/>
      </rPr>
      <t>个独立功能。而应该合并成：</t>
    </r>
    <r>
      <rPr>
        <sz val="11"/>
        <rFont val="Carlito"/>
        <charset val="134"/>
      </rPr>
      <t xml:space="preserve">ResearchOps </t>
    </r>
    <r>
      <rPr>
        <sz val="11"/>
        <rFont val="宋体"/>
        <charset val="134"/>
      </rPr>
      <t>首版</t>
    </r>
    <r>
      <rPr>
        <sz val="11"/>
        <rFont val="Carlito"/>
        <charset val="134"/>
      </rPr>
      <t xml:space="preserve"> P0</t>
    </r>
    <r>
      <rPr>
        <sz val="11"/>
        <rFont val="宋体"/>
        <charset val="134"/>
      </rPr>
      <t>：复现准备度评估（</t>
    </r>
    <r>
      <rPr>
        <sz val="11"/>
        <rFont val="Carlito"/>
        <charset val="134"/>
      </rPr>
      <t>Reproduction Readiness Assessment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包含：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信息证据聚合（</t>
    </r>
    <r>
      <rPr>
        <sz val="11"/>
        <rFont val="Carlito"/>
        <charset val="134"/>
      </rPr>
      <t>P07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数据可用性检查（</t>
    </r>
    <r>
      <rPr>
        <sz val="11"/>
        <rFont val="Carlito"/>
        <charset val="134"/>
      </rPr>
      <t>P01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环境兼容检查（</t>
    </r>
    <r>
      <rPr>
        <sz val="11"/>
        <rFont val="Carlito"/>
        <charset val="134"/>
      </rPr>
      <t>P02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权重资产检查（</t>
    </r>
    <r>
      <rPr>
        <sz val="11"/>
        <rFont val="Carlito"/>
        <charset val="134"/>
      </rPr>
      <t>P03</t>
    </r>
    <r>
      <rPr>
        <sz val="11"/>
        <rFont val="宋体"/>
        <charset val="134"/>
      </rPr>
      <t>）</t>
    </r>
  </si>
  <si>
    <t>P-02</t>
  </si>
  <si>
    <t>依赖、版本与运行环境兼容信息难以在投入前确认</t>
  </si>
  <si>
    <t>复现前 / 下载与环境</t>
  </si>
  <si>
    <t>Q11：依赖包版本冲突 11/20（55.0%）；Python、CUDA或框架不匹配 8/20（40.0%）</t>
  </si>
  <si>
    <t>无直接开放文本；待后续访谈补充具体版本判断过程。</t>
  </si>
  <si>
    <t>C-011、C-014、C-015、C-019</t>
  </si>
  <si>
    <t>阻塞运行：导入、转换、安装或编译工具链不兼容会使任务无法启动。</t>
  </si>
  <si>
    <t>部分</t>
  </si>
  <si>
    <t>查 README、requirements、Issue；手动试装或反复调整版本。</t>
  </si>
  <si>
    <t>中等：Q13为跨主题证据，缺少环境/版本主题的直接开放文本评价。</t>
  </si>
  <si>
    <r>
      <t xml:space="preserve">1. </t>
    </r>
    <r>
      <rPr>
        <sz val="10"/>
        <color rgb="FF1F2937"/>
        <rFont val="宋体"/>
        <charset val="134"/>
      </rPr>
      <t>无直接开放文本证明用户在运行前如何判断版本风险；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部分环境问题只有实际运行后才能暴露；</t>
    </r>
    <r>
      <rPr>
        <sz val="10"/>
        <color rgb="FF1F2937"/>
        <rFont val="Carlito"/>
        <charset val="134"/>
      </rPr>
      <t xml:space="preserve">
3. README</t>
    </r>
    <r>
      <rPr>
        <sz val="10"/>
        <color rgb="FF1F2937"/>
        <rFont val="宋体"/>
        <charset val="134"/>
      </rPr>
      <t>、</t>
    </r>
    <r>
      <rPr>
        <sz val="10"/>
        <color rgb="FF1F2937"/>
        <rFont val="Carlito"/>
        <charset val="134"/>
      </rPr>
      <t>requirements</t>
    </r>
    <r>
      <rPr>
        <sz val="10"/>
        <color rgb="FF1F2937"/>
        <rFont val="宋体"/>
        <charset val="134"/>
      </rPr>
      <t>和</t>
    </r>
    <r>
      <rPr>
        <sz val="10"/>
        <color rgb="FF1F2937"/>
        <rFont val="Carlito"/>
        <charset val="134"/>
      </rPr>
      <t>Issue</t>
    </r>
    <r>
      <rPr>
        <sz val="10"/>
        <color rgb="FF1F2937"/>
        <rFont val="宋体"/>
        <charset val="134"/>
      </rPr>
      <t>仍可能解决部分简单兼容问题。</t>
    </r>
  </si>
  <si>
    <t>样本主要为研究生和CV用户，且问卷为自陈；开放文本详细描述有限；公开案例仅证明问题存在，不证明用户发生率。缺少开放文本直接解释版本判断过程，也尚无真实准备度检查行为证据。</t>
  </si>
  <si>
    <r>
      <t>进入</t>
    </r>
    <r>
      <rPr>
        <b/>
        <sz val="11"/>
        <color rgb="FF1F4E78"/>
        <rFont val="Carlito"/>
        <charset val="134"/>
      </rPr>
      <t>P0</t>
    </r>
    <r>
      <rPr>
        <b/>
        <sz val="11"/>
        <color rgb="FF1F4E78"/>
        <rFont val="宋体"/>
        <charset val="134"/>
      </rPr>
      <t>。环境兼容风险是复现准备阶段核心判断成本来源。</t>
    </r>
    <r>
      <rPr>
        <b/>
        <sz val="11"/>
        <color rgb="FF1F4E78"/>
        <rFont val="Carlito"/>
        <charset val="134"/>
      </rPr>
      <t xml:space="preserve">
</t>
    </r>
    <r>
      <rPr>
        <b/>
        <sz val="11"/>
        <color rgb="FF1F4E78"/>
        <rFont val="宋体"/>
        <charset val="134"/>
      </rPr>
      <t>首版应提供环境</t>
    </r>
    <r>
      <rPr>
        <b/>
        <sz val="11"/>
        <color rgb="FF1F4E78"/>
        <rFont val="Carlito"/>
        <charset val="134"/>
      </rPr>
      <t>/</t>
    </r>
    <r>
      <rPr>
        <b/>
        <sz val="11"/>
        <color rgb="FF1F4E78"/>
        <rFont val="宋体"/>
        <charset val="134"/>
      </rPr>
      <t>依赖风险检查，而不是运行后排错。</t>
    </r>
  </si>
  <si>
    <t>P-03</t>
  </si>
  <si>
    <t>预训练权重与运行配置的完整性和兼容性难判断</t>
  </si>
  <si>
    <t>复现前 / 运行中 / 评测后</t>
  </si>
  <si>
    <t>Q11：权重缺失或不兼容 8/20（40.0%）；命令、配置或路径说明缺失 5/20（25.0%）</t>
  </si>
  <si>
    <t>无直接开放文本；待后续任务观察补充。</t>
  </si>
  <si>
    <t>C-003、C-010、C-012、C-020</t>
  </si>
  <si>
    <t>阻塞运行或结果偏差：权重键名、采样参数、类别映射或数据加载器契约不一致。</t>
  </si>
  <si>
    <t>阅读配置与模型代码；尝试修改参数、加载策略或 mapper 后再运行。</t>
  </si>
  <si>
    <t>中等：Q13为整体信息分散与证据不足，缺少权重/配置主题的直接开放文本。</t>
  </si>
  <si>
    <r>
      <t>P0</t>
    </r>
    <r>
      <rPr>
        <b/>
        <sz val="10"/>
        <color rgb="FF1F4E78"/>
        <rFont val="宋体"/>
        <charset val="134"/>
      </rPr>
      <t>候选（子能力）</t>
    </r>
  </si>
  <si>
    <r>
      <t xml:space="preserve">1. </t>
    </r>
    <r>
      <rPr>
        <sz val="10"/>
        <color rgb="FF1F2937"/>
        <rFont val="宋体"/>
        <charset val="134"/>
      </rPr>
      <t>当前缺少权重问题直接开放文本描述；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部分权重兼容问题需要实际加载模型后才能确认；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不同论文权重格式差异较大，自动判断复杂度较高。</t>
    </r>
  </si>
  <si>
    <t>样本主要为研究生和CV用户，且问卷为自陈；开放文本详细描述有限；公开案例仅证明问题存在，不证明用户发生率。公开案例支持兼容问题存在，但尚未验证系统能否在真实任务中正确识别。</t>
  </si>
  <si>
    <r>
      <t>纳入</t>
    </r>
    <r>
      <rPr>
        <b/>
        <sz val="11"/>
        <color rgb="FF1F4E78"/>
        <rFont val="Carlito"/>
        <charset val="134"/>
      </rPr>
      <t>P0</t>
    </r>
    <r>
      <rPr>
        <b/>
        <sz val="11"/>
        <color rgb="FF1F4E78"/>
        <rFont val="宋体"/>
        <charset val="134"/>
      </rPr>
      <t>准备度检查中的资产完整性模块。不作为独立功能入口。</t>
    </r>
  </si>
  <si>
    <t>P-04</t>
  </si>
  <si>
    <t>算力、显存与运行资源需求在投入前不透明</t>
  </si>
  <si>
    <t>Q11：资源不足 11/20（55.0%）</t>
  </si>
  <si>
    <t>无直接开放文本；待后续访谈补充资源估算与实际任务过程。</t>
  </si>
  <si>
    <t>C-004、C-009</t>
  </si>
  <si>
    <t>阻塞运行：资源不足会导致进程终止、任务挂起或需要缩小任务规模。</t>
  </si>
  <si>
    <t>运行后再降低 worker、关闭缓存/特征保存或调整任务规模。</t>
  </si>
  <si>
    <t>中等：资源问题频率较高，但缺少用户对现有资源评估方式有效性的直接评价。</t>
  </si>
  <si>
    <t>P1候选</t>
  </si>
  <si>
    <r>
      <t xml:space="preserve">1. </t>
    </r>
    <r>
      <rPr>
        <sz val="10"/>
        <color rgb="FF1F2937"/>
        <rFont val="宋体"/>
        <charset val="134"/>
      </rPr>
      <t>公开案例仅</t>
    </r>
    <r>
      <rPr>
        <sz val="10"/>
        <color rgb="FF1F2937"/>
        <rFont val="Carlito"/>
        <charset val="134"/>
      </rPr>
      <t>2</t>
    </r>
    <r>
      <rPr>
        <sz val="10"/>
        <color rgb="FF1F2937"/>
        <rFont val="宋体"/>
        <charset val="134"/>
      </rPr>
      <t>条支持；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资源估算依赖具体硬件环境；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当前无法保证提前预测准确性。</t>
    </r>
  </si>
  <si>
    <t>样本主要为研究生和CV用户，且问卷为自陈；开放文本详细描述有限；公开案例仅证明问题存在，不证明用户发生率。有效公开案例仅2条，不足以支持立即扩展为首版第四类核心诊断。</t>
  </si>
  <si>
    <r>
      <t>保持</t>
    </r>
    <r>
      <rPr>
        <b/>
        <sz val="11"/>
        <color rgb="FF1F4E78"/>
        <rFont val="Carlito"/>
        <charset val="134"/>
      </rPr>
      <t>P1</t>
    </r>
    <r>
      <rPr>
        <b/>
        <sz val="11"/>
        <color rgb="FF1F4E78"/>
        <rFont val="宋体"/>
        <charset val="134"/>
      </rPr>
      <t>。提供资源需求提示和风险提醒，暂不作为首版核心判断模块。</t>
    </r>
  </si>
  <si>
    <t>P-05</t>
  </si>
  <si>
    <t>执行过程</t>
  </si>
  <si>
    <t>运行报错的定位与排查过程耗时、缺少结构化路径</t>
  </si>
  <si>
    <t>运行中</t>
  </si>
  <si>
    <t>Q10（原始有效样本复核）：排查并解决运行错误 7/20（35.0%）</t>
  </si>
  <si>
    <t>C-001、C-005、C-006、C-009</t>
  </si>
  <si>
    <t>显著增加排查时间：用户通常需在报错、配置、数据与 Issue 之间反复比对。</t>
  </si>
  <si>
    <t>搜索报错、阅读 Issue、调整参数后重跑。</t>
  </si>
  <si>
    <t>中等：Q13与排错高度相关但非单独提问，暂按间接支持处理。</t>
  </si>
  <si>
    <r>
      <t>1. Q10</t>
    </r>
    <r>
      <rPr>
        <sz val="10"/>
        <color rgb="FF1F2937"/>
        <rFont val="宋体"/>
        <charset val="134"/>
      </rPr>
      <t>仅</t>
    </r>
    <r>
      <rPr>
        <sz val="10"/>
        <color rgb="FF1F2937"/>
        <rFont val="Carlito"/>
        <charset val="134"/>
      </rPr>
      <t>7/20</t>
    </r>
    <r>
      <rPr>
        <sz val="10"/>
        <color rgb="FF1F2937"/>
        <rFont val="宋体"/>
        <charset val="134"/>
      </rPr>
      <t>（</t>
    </r>
    <r>
      <rPr>
        <sz val="10"/>
        <color rgb="FF1F2937"/>
        <rFont val="Carlito"/>
        <charset val="134"/>
      </rPr>
      <t>35%</t>
    </r>
    <r>
      <rPr>
        <sz val="10"/>
        <color rgb="FF1F2937"/>
        <rFont val="宋体"/>
        <charset val="134"/>
      </rPr>
      <t>）；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错误类型高度复杂；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自动诊断可靠性尚未验证。</t>
    </r>
  </si>
  <si>
    <t>样本主要为研究生和CV用户，且问卷为自陈；开放文本详细描述有限；公开案例仅证明问题存在，不证明用户发生率。Q10口径后续复核，但本轮先按7/20暂记完成第五天收尾。</t>
  </si>
  <si>
    <r>
      <t>保持</t>
    </r>
    <r>
      <rPr>
        <b/>
        <sz val="11"/>
        <color rgb="FF1F4E78"/>
        <rFont val="Carlito"/>
        <charset val="134"/>
      </rPr>
      <t>P1</t>
    </r>
    <r>
      <rPr>
        <b/>
        <sz val="11"/>
        <color rgb="FF1F4E78"/>
        <rFont val="宋体"/>
        <charset val="134"/>
      </rPr>
      <t>。未来可作为准备度检查后的辅助诊断能力。</t>
    </r>
  </si>
  <si>
    <t>P-06</t>
  </si>
  <si>
    <t>评测验证</t>
  </si>
  <si>
    <t>评测口径与结果对齐缺少可验证的前置检查</t>
  </si>
  <si>
    <t>评测后</t>
  </si>
  <si>
    <t>Q11：评测口径不清 4/20（20.0%）；Q9：计算指标并对齐结果为最耗时环节 1/20（5.0%）</t>
  </si>
  <si>
    <t>C-012、C-020</t>
  </si>
  <si>
    <t>结果偏差或返工：类别映射、验证数据加载器或指标过程不一致会导致mAP为0或验证损失不可用。</t>
  </si>
  <si>
    <t>对照论文、代码和日志；在多轮训练或评测异常后排查。</t>
  </si>
  <si>
    <t>中等：Q13存在整体证据不足问题，但没有评测场景直接开放文本。</t>
  </si>
  <si>
    <t>P2/观察</t>
  </si>
  <si>
    <r>
      <t xml:space="preserve">1. </t>
    </r>
    <r>
      <rPr>
        <sz val="10"/>
        <color rgb="FF1F2937"/>
        <rFont val="宋体"/>
        <charset val="134"/>
      </rPr>
      <t>当前频率较低；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缺少直接开放文本；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更多属于实验验证阶段问题。</t>
    </r>
  </si>
  <si>
    <t>样本主要为研究生和CV用户，且问卷为自陈；开放文本详细描述有限；公开案例仅证明问题存在，不证明用户发生率。问卷频率较低且缺乏开放文本过程证据。</t>
  </si>
  <si>
    <r>
      <t>继续观察。后续根据</t>
    </r>
    <r>
      <rPr>
        <b/>
        <sz val="11"/>
        <color rgb="FF1F4E78"/>
        <rFont val="Carlito"/>
        <charset val="134"/>
      </rPr>
      <t>MVP</t>
    </r>
    <r>
      <rPr>
        <b/>
        <sz val="11"/>
        <color rgb="FF1F4E78"/>
        <rFont val="宋体"/>
        <charset val="134"/>
      </rPr>
      <t>用户反馈决定是否进入评测辅助模块。</t>
    </r>
  </si>
  <si>
    <t>P-07</t>
  </si>
  <si>
    <t>信息支持</t>
  </si>
  <si>
    <t>复现所需信息分散、缺少可信证据与项目化建议</t>
  </si>
  <si>
    <t>贯穿复现前至运行中</t>
  </si>
  <si>
    <t>Q13：信息分散 12/20（60.0%）；结论缺少来源或证据 10/20（50.0%）；建议泛化 7/20（35.0%）</t>
  </si>
  <si>
    <t>无直接开放文本；现有开放文本不足以解释所有信息查找路径。</t>
  </si>
  <si>
    <t>C-013</t>
  </si>
  <si>
    <t>明显增加判断与排查时间；可能导致按过时或不完整信息执行。</t>
  </si>
  <si>
    <t>在 README、Issue、搜索与通用助手之间反复查找和拼接信息。</t>
  </si>
  <si>
    <t>强：Q13直接对应信息分散、证据不足与建议泛化。</t>
  </si>
  <si>
    <r>
      <t>P0</t>
    </r>
    <r>
      <rPr>
        <b/>
        <sz val="10"/>
        <color rgb="FF1F4E78"/>
        <rFont val="宋体"/>
        <charset val="134"/>
      </rPr>
      <t>支撑原则（底层能力）</t>
    </r>
  </si>
  <si>
    <r>
      <t xml:space="preserve">1. </t>
    </r>
    <r>
      <rPr>
        <sz val="10"/>
        <color rgb="FF1F2937"/>
        <rFont val="宋体"/>
        <charset val="134"/>
      </rPr>
      <t>部分经验丰富用户可以通过论文、</t>
    </r>
    <r>
      <rPr>
        <sz val="10"/>
        <color rgb="FF1F2937"/>
        <rFont val="Carlito"/>
        <charset val="134"/>
      </rPr>
      <t>README</t>
    </r>
    <r>
      <rPr>
        <sz val="10"/>
        <color rgb="FF1F2937"/>
        <rFont val="宋体"/>
        <charset val="134"/>
      </rPr>
      <t>、</t>
    </r>
    <r>
      <rPr>
        <sz val="10"/>
        <color rgb="FF1F2937"/>
        <rFont val="Carlito"/>
        <charset val="134"/>
      </rPr>
      <t>Issue</t>
    </r>
    <r>
      <rPr>
        <sz val="10"/>
        <color rgb="FF1F2937"/>
        <rFont val="宋体"/>
        <charset val="134"/>
      </rPr>
      <t>自行完成信息整合；</t>
    </r>
    <r>
      <rPr>
        <sz val="10"/>
        <color rgb="FF1F2937"/>
        <rFont val="Carlito"/>
        <charset val="134"/>
      </rPr>
      <t xml:space="preserve">
2. </t>
    </r>
    <r>
      <rPr>
        <sz val="10"/>
        <color rgb="FF1F2937"/>
        <rFont val="宋体"/>
        <charset val="134"/>
      </rPr>
      <t>信息分散属于综合性问题，单独价值难以量化；</t>
    </r>
    <r>
      <rPr>
        <sz val="10"/>
        <color rgb="FF1F2937"/>
        <rFont val="Carlito"/>
        <charset val="134"/>
      </rPr>
      <t xml:space="preserve">
3. </t>
    </r>
    <r>
      <rPr>
        <sz val="10"/>
        <color rgb="FF1F2937"/>
        <rFont val="宋体"/>
        <charset val="134"/>
      </rPr>
      <t>如果没有具体检查框架，简单的信息聚合可能只是另一个搜索工具。</t>
    </r>
  </si>
  <si>
    <t>样本主要为研究生和CV用户，且问卷为自陈；开放文本详细描述有限；公开案例仅证明问题存在，不证明用户发生率。Q13反映现有方式不足，不直接等同于单一技术问题的发生率。</t>
  </si>
  <si>
    <r>
      <t>进入</t>
    </r>
    <r>
      <rPr>
        <b/>
        <sz val="11"/>
        <color rgb="FF1F4E78"/>
        <rFont val="Carlito"/>
        <charset val="134"/>
      </rPr>
      <t>P0</t>
    </r>
    <r>
      <rPr>
        <b/>
        <sz val="11"/>
        <color rgb="FF1F4E78"/>
        <rFont val="宋体"/>
        <charset val="134"/>
      </rPr>
      <t>。信息分散是用户复现决策成本的核心来源，也是</t>
    </r>
    <r>
      <rPr>
        <b/>
        <sz val="11"/>
        <color rgb="FF1F4E78"/>
        <rFont val="Carlito"/>
        <charset val="134"/>
      </rPr>
      <t>ResearchOps</t>
    </r>
    <r>
      <rPr>
        <b/>
        <sz val="11"/>
        <color rgb="FF1F4E78"/>
        <rFont val="宋体"/>
        <charset val="134"/>
      </rPr>
      <t>区别于普通搜索和大模型问答的关键价值。首版应围绕证据聚合和准备度判断展开，而非单纯提供信息检索。（所有模块基础）</t>
    </r>
  </si>
  <si>
    <t>Gate 1产品结构：P0核心问题＝数据/路径＋环境/版本＋权重/配置；P0横向要求＝所有判断均应提供来源、证据与项目上下文；P1＝算力/资源＋报错排查；继续观察＝评测与结果对齐。</t>
  </si>
  <si>
    <t>H5一致性：P-04算力/资源虽为36分，但仍为P1候选；本轮公开案例仅2条且不属于首版三类诊断覆盖范围，暂不新增第四类核心诊断。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</si>
</sst>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i/>
      <sz val="10"/>
      <color rgb="FF44546A"/>
      <name val="Carlito"/>
      <charset val="134"/>
    </font>
    <font>
      <b/>
      <sz val="10"/>
      <color rgb="FFFFFFFF"/>
      <name val="Carlito"/>
      <charset val="134"/>
    </font>
    <font>
      <b/>
      <sz val="10"/>
      <color rgb="FFFFFFFF"/>
      <name val="宋体"/>
      <charset val="134"/>
    </font>
    <font>
      <b/>
      <sz val="10"/>
      <color rgb="FF1F4E78"/>
      <name val="Carlito"/>
      <charset val="134"/>
    </font>
    <font>
      <sz val="10"/>
      <color rgb="FF1F2937"/>
      <name val="Carlito"/>
      <charset val="134"/>
    </font>
    <font>
      <b/>
      <sz val="10"/>
      <color rgb="FF7F6000"/>
      <name val="Carlito"/>
      <charset val="134"/>
    </font>
    <font>
      <b/>
      <sz val="11"/>
      <color rgb="FF1F4E78"/>
      <name val="宋体"/>
      <charset val="134"/>
    </font>
    <font>
      <b/>
      <sz val="11"/>
      <color rgb="FF1F4E78"/>
      <name val="Carlito"/>
      <charset val="134"/>
    </font>
    <font>
      <b/>
      <sz val="10"/>
      <color rgb="FF1F4E78"/>
      <name val="宋体"/>
      <charset val="134"/>
    </font>
    <font>
      <i/>
      <sz val="9"/>
      <color rgb="FF44546A"/>
      <name val="Carlito"/>
      <charset val="134"/>
    </font>
    <font>
      <i/>
      <sz val="9"/>
      <color rgb="FF6B728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F2937"/>
      <name val="宋体"/>
      <charset val="134"/>
    </font>
    <font>
      <sz val="1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vertical="center"/>
    </xf>
    <xf numFmtId="0" fontId="0" fillId="0" borderId="0" xfId="49" applyAlignment="1"/>
    <xf numFmtId="0" fontId="3" fillId="3" borderId="0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4" fillId="4" borderId="2" xfId="49" applyNumberFormat="1" applyFont="1" applyFill="1" applyBorder="1" applyAlignment="1">
      <alignment horizontal="center" vertical="center" wrapText="1"/>
    </xf>
    <xf numFmtId="0" fontId="5" fillId="4" borderId="2" xfId="49" applyNumberFormat="1" applyFont="1" applyFill="1" applyBorder="1" applyAlignment="1">
      <alignment horizontal="center" vertical="center" wrapText="1"/>
    </xf>
    <xf numFmtId="0" fontId="4" fillId="4" borderId="3" xfId="49" applyNumberFormat="1" applyFont="1" applyFill="1" applyBorder="1" applyAlignment="1">
      <alignment horizontal="center" vertical="center" wrapText="1"/>
    </xf>
    <xf numFmtId="0" fontId="5" fillId="4" borderId="3" xfId="49" applyNumberFormat="1" applyFont="1" applyFill="1" applyBorder="1" applyAlignment="1">
      <alignment horizontal="center" vertical="center" wrapText="1"/>
    </xf>
    <xf numFmtId="0" fontId="4" fillId="4" borderId="4" xfId="49" applyNumberFormat="1" applyFont="1" applyFill="1" applyBorder="1" applyAlignment="1">
      <alignment horizontal="center" vertical="center" wrapText="1"/>
    </xf>
    <xf numFmtId="0" fontId="5" fillId="4" borderId="4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horizontal="center" vertical="top" wrapText="1"/>
    </xf>
    <xf numFmtId="0" fontId="7" fillId="0" borderId="5" xfId="49" applyNumberFormat="1" applyFont="1" applyFill="1" applyBorder="1" applyAlignment="1">
      <alignment vertical="top" wrapText="1"/>
    </xf>
    <xf numFmtId="0" fontId="7" fillId="0" borderId="5" xfId="49" applyNumberFormat="1" applyFont="1" applyFill="1" applyBorder="1" applyAlignment="1">
      <alignment horizontal="center" vertical="top" wrapText="1"/>
    </xf>
    <xf numFmtId="0" fontId="7" fillId="5" borderId="5" xfId="49" applyNumberFormat="1" applyFont="1" applyFill="1" applyBorder="1" applyAlignment="1">
      <alignment horizontal="center" vertical="top" wrapText="1"/>
    </xf>
    <xf numFmtId="0" fontId="8" fillId="6" borderId="5" xfId="49" applyNumberFormat="1" applyFont="1" applyFill="1" applyBorder="1" applyAlignment="1">
      <alignment horizontal="center" vertical="top" wrapText="1"/>
    </xf>
    <xf numFmtId="0" fontId="6" fillId="3" borderId="5" xfId="49" applyNumberFormat="1" applyFont="1" applyFill="1" applyBorder="1" applyAlignment="1">
      <alignment horizontal="center" vertical="top" wrapText="1"/>
    </xf>
    <xf numFmtId="0" fontId="7" fillId="7" borderId="5" xfId="49" applyNumberFormat="1" applyFont="1" applyFill="1" applyBorder="1" applyAlignment="1">
      <alignment vertical="top" wrapText="1"/>
    </xf>
    <xf numFmtId="0" fontId="9" fillId="5" borderId="0" xfId="49" applyNumberFormat="1" applyFont="1" applyFill="1" applyBorder="1" applyAlignment="1">
      <alignment horizontal="justify" vertical="top" wrapText="1"/>
    </xf>
    <xf numFmtId="0" fontId="10" fillId="5" borderId="0" xfId="49" applyNumberFormat="1" applyFont="1" applyFill="1" applyBorder="1" applyAlignment="1">
      <alignment horizontal="center" vertical="top"/>
    </xf>
    <xf numFmtId="0" fontId="0" fillId="8" borderId="0" xfId="49" applyFont="1" applyFill="1" applyAlignment="1">
      <alignment horizontal="justify" vertical="center" wrapText="1"/>
    </xf>
    <xf numFmtId="0" fontId="6" fillId="0" borderId="6" xfId="49" applyNumberFormat="1" applyFont="1" applyFill="1" applyBorder="1" applyAlignment="1">
      <alignment horizontal="center" vertical="top" wrapText="1"/>
    </xf>
    <xf numFmtId="0" fontId="7" fillId="0" borderId="6" xfId="49" applyNumberFormat="1" applyFont="1" applyFill="1" applyBorder="1" applyAlignment="1">
      <alignment vertical="top" wrapText="1"/>
    </xf>
    <xf numFmtId="0" fontId="7" fillId="0" borderId="6" xfId="49" applyNumberFormat="1" applyFont="1" applyFill="1" applyBorder="1" applyAlignment="1">
      <alignment horizontal="center" vertical="top" wrapText="1"/>
    </xf>
    <xf numFmtId="0" fontId="7" fillId="5" borderId="6" xfId="49" applyNumberFormat="1" applyFont="1" applyFill="1" applyBorder="1" applyAlignment="1">
      <alignment horizontal="center" vertical="top" wrapText="1"/>
    </xf>
    <xf numFmtId="0" fontId="8" fillId="6" borderId="6" xfId="49" applyNumberFormat="1" applyFont="1" applyFill="1" applyBorder="1" applyAlignment="1">
      <alignment horizontal="center" vertical="top" wrapText="1"/>
    </xf>
    <xf numFmtId="0" fontId="6" fillId="3" borderId="6" xfId="49" applyNumberFormat="1" applyFont="1" applyFill="1" applyBorder="1" applyAlignment="1">
      <alignment horizontal="center" vertical="top" wrapText="1"/>
    </xf>
    <xf numFmtId="0" fontId="7" fillId="7" borderId="6" xfId="49" applyNumberFormat="1" applyFont="1" applyFill="1" applyBorder="1" applyAlignment="1">
      <alignment vertical="top" wrapText="1"/>
    </xf>
    <xf numFmtId="0" fontId="9" fillId="5" borderId="0" xfId="49" applyNumberFormat="1" applyFont="1" applyFill="1" applyBorder="1" applyAlignment="1">
      <alignment horizontal="justify" vertical="top" wrapText="1"/>
    </xf>
    <xf numFmtId="0" fontId="11" fillId="3" borderId="6" xfId="49" applyNumberFormat="1" applyFont="1" applyFill="1" applyBorder="1" applyAlignment="1">
      <alignment horizontal="center" vertical="top" wrapText="1"/>
    </xf>
    <xf numFmtId="0" fontId="6" fillId="0" borderId="7" xfId="49" applyNumberFormat="1" applyFont="1" applyFill="1" applyBorder="1" applyAlignment="1">
      <alignment horizontal="center" vertical="top" wrapText="1"/>
    </xf>
    <xf numFmtId="0" fontId="7" fillId="0" borderId="7" xfId="49" applyNumberFormat="1" applyFont="1" applyFill="1" applyBorder="1" applyAlignment="1">
      <alignment vertical="top" wrapText="1"/>
    </xf>
    <xf numFmtId="0" fontId="7" fillId="0" borderId="7" xfId="49" applyNumberFormat="1" applyFont="1" applyFill="1" applyBorder="1" applyAlignment="1">
      <alignment horizontal="center" vertical="top" wrapText="1"/>
    </xf>
    <xf numFmtId="0" fontId="7" fillId="5" borderId="7" xfId="49" applyNumberFormat="1" applyFont="1" applyFill="1" applyBorder="1" applyAlignment="1">
      <alignment horizontal="center" vertical="top" wrapText="1"/>
    </xf>
    <xf numFmtId="0" fontId="8" fillId="6" borderId="7" xfId="49" applyNumberFormat="1" applyFont="1" applyFill="1" applyBorder="1" applyAlignment="1">
      <alignment horizontal="center" vertical="top" wrapText="1"/>
    </xf>
    <xf numFmtId="0" fontId="6" fillId="3" borderId="7" xfId="49" applyNumberFormat="1" applyFont="1" applyFill="1" applyBorder="1" applyAlignment="1">
      <alignment horizontal="center" vertical="top" wrapText="1"/>
    </xf>
    <xf numFmtId="0" fontId="7" fillId="7" borderId="7" xfId="49" applyNumberFormat="1" applyFont="1" applyFill="1" applyBorder="1" applyAlignment="1">
      <alignment vertical="top" wrapText="1"/>
    </xf>
    <xf numFmtId="0" fontId="9" fillId="5" borderId="0" xfId="49" applyNumberFormat="1" applyFont="1" applyFill="1" applyBorder="1" applyAlignment="1">
      <alignment horizontal="justify" vertical="top" wrapText="1"/>
    </xf>
    <xf numFmtId="0" fontId="12" fillId="9" borderId="0" xfId="49" applyNumberFormat="1" applyFont="1" applyFill="1" applyBorder="1" applyAlignment="1">
      <alignment vertical="center" wrapText="1"/>
    </xf>
    <xf numFmtId="0" fontId="13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inPointCandidateTable" displayName="PainPointCandidateTable" ref="A4:T11" totalsRowShown="0">
  <tableColumns count="20">
    <tableColumn id="1" name="pain_id"/>
    <tableColumn id="2" name="痛点层级"/>
    <tableColumn id="3" name="痛点名称"/>
    <tableColumn id="4" name="主要发生阶段" dataDxfId="0"/>
    <tableColumn id="5" name="问卷频率证据"/>
    <tableColumn id="6" name="开放文本证据"/>
    <tableColumn id="7" name="公开案例证据（仅Case ID）"/>
    <tableColumn id="8" name="影响证据"/>
    <tableColumn id="9" name="可提前发现性"/>
    <tableColumn id="10" name="当前替代方案"/>
    <tableColumn id="11" name="替代方案不足"/>
    <tableColumn id="12" name="频率评分"/>
    <tableColumn id="13" name="影响评分"/>
    <tableColumn id="14" name="可提前发现评分"/>
    <tableColumn id="15" name="替代方案不足评分"/>
    <tableColumn id="16" name="探索性优先级分"/>
    <tableColumn id="17" name="当前判断"/>
    <tableColumn id="19" name="反向证据/冲突证据"/>
    <tableColumn id="18" name="证据限制"/>
    <tableColumn id="20" name="产品决策理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showGridLines="0" tabSelected="1" zoomScale="70" zoomScaleNormal="70" topLeftCell="H1" workbookViewId="0">
      <selection activeCell="V8" sqref="V8"/>
    </sheetView>
  </sheetViews>
  <sheetFormatPr defaultColWidth="9" defaultRowHeight="14"/>
  <cols>
    <col min="1" max="1" width="10" customWidth="1"/>
    <col min="2" max="2" width="14" customWidth="1"/>
    <col min="3" max="3" width="28" customWidth="1"/>
    <col min="4" max="4" width="20" customWidth="1"/>
    <col min="5" max="6" width="31" customWidth="1"/>
    <col min="7" max="7" width="24" customWidth="1"/>
    <col min="8" max="8" width="28" customWidth="1"/>
    <col min="9" max="9" width="14" customWidth="1"/>
    <col min="10" max="10" width="28" customWidth="1"/>
    <col min="11" max="11" width="29" customWidth="1"/>
    <col min="12" max="13" width="10" customWidth="1"/>
    <col min="14" max="14" width="12" customWidth="1"/>
    <col min="15" max="15" width="14" customWidth="1"/>
    <col min="16" max="16" width="12" customWidth="1"/>
    <col min="17" max="17" width="14" customWidth="1"/>
    <col min="18" max="19" width="32" customWidth="1"/>
    <col min="20" max="20" width="27" customWidth="1"/>
    <col min="21" max="21" width="12" customWidth="1"/>
    <col min="22" max="22" width="23.8083333333333" customWidth="1"/>
  </cols>
  <sheetData>
    <row r="1" ht="30" customHeight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ht="34" customHeight="1" spans="1:2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ht="42" customHeight="1" spans="1:22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7" t="s">
        <v>19</v>
      </c>
      <c r="S4" s="8" t="s">
        <v>20</v>
      </c>
      <c r="T4" s="9" t="s">
        <v>21</v>
      </c>
      <c r="U4" s="10" t="s">
        <v>22</v>
      </c>
      <c r="V4" s="11" t="s">
        <v>23</v>
      </c>
    </row>
    <row r="5" ht="96" customHeight="1" spans="1:22">
      <c r="A5" s="12" t="s">
        <v>24</v>
      </c>
      <c r="B5" s="12" t="s">
        <v>25</v>
      </c>
      <c r="C5" s="13" t="s">
        <v>26</v>
      </c>
      <c r="D5" s="14" t="s">
        <v>27</v>
      </c>
      <c r="E5" s="13" t="s">
        <v>28</v>
      </c>
      <c r="F5" s="13" t="s">
        <v>29</v>
      </c>
      <c r="G5" s="13" t="s">
        <v>30</v>
      </c>
      <c r="H5" s="13" t="s">
        <v>31</v>
      </c>
      <c r="I5" s="13" t="s">
        <v>32</v>
      </c>
      <c r="J5" s="13" t="s">
        <v>33</v>
      </c>
      <c r="K5" s="13" t="s">
        <v>34</v>
      </c>
      <c r="L5" s="15">
        <v>2</v>
      </c>
      <c r="M5" s="15">
        <v>3</v>
      </c>
      <c r="N5" s="15">
        <v>2</v>
      </c>
      <c r="O5" s="15">
        <v>2</v>
      </c>
      <c r="P5" s="16">
        <f t="shared" ref="P5:P11" si="0">IF(COUNT(L5:O5)=4,PRODUCT(L5:O5),"")</f>
        <v>24</v>
      </c>
      <c r="Q5" s="17" t="s">
        <v>35</v>
      </c>
      <c r="R5" s="18" t="s">
        <v>36</v>
      </c>
      <c r="S5" s="18" t="s">
        <v>37</v>
      </c>
      <c r="T5" s="19" t="s">
        <v>38</v>
      </c>
      <c r="U5" s="20">
        <f t="shared" ref="U5:U11" si="1">IF(P5="","",RANK(P5,$P$5:$P$11,0))</f>
        <v>4</v>
      </c>
      <c r="V5" s="21" t="s">
        <v>39</v>
      </c>
    </row>
    <row r="6" ht="96" customHeight="1" spans="1:22">
      <c r="A6" s="22" t="s">
        <v>40</v>
      </c>
      <c r="B6" s="22" t="s">
        <v>25</v>
      </c>
      <c r="C6" s="23" t="s">
        <v>41</v>
      </c>
      <c r="D6" s="24" t="s">
        <v>42</v>
      </c>
      <c r="E6" s="23" t="s">
        <v>43</v>
      </c>
      <c r="F6" s="23" t="s">
        <v>44</v>
      </c>
      <c r="G6" s="23" t="s">
        <v>45</v>
      </c>
      <c r="H6" s="23" t="s">
        <v>46</v>
      </c>
      <c r="I6" s="23" t="s">
        <v>47</v>
      </c>
      <c r="J6" s="23" t="s">
        <v>48</v>
      </c>
      <c r="K6" s="23" t="s">
        <v>49</v>
      </c>
      <c r="L6" s="25">
        <v>3</v>
      </c>
      <c r="M6" s="25">
        <v>3</v>
      </c>
      <c r="N6" s="25">
        <v>2</v>
      </c>
      <c r="O6" s="25">
        <v>2</v>
      </c>
      <c r="P6" s="26">
        <f t="shared" si="0"/>
        <v>36</v>
      </c>
      <c r="Q6" s="27" t="s">
        <v>35</v>
      </c>
      <c r="R6" s="28" t="s">
        <v>50</v>
      </c>
      <c r="S6" s="28" t="s">
        <v>51</v>
      </c>
      <c r="T6" s="29" t="s">
        <v>52</v>
      </c>
      <c r="U6" s="20">
        <f t="shared" si="1"/>
        <v>1</v>
      </c>
      <c r="V6" s="21"/>
    </row>
    <row r="7" ht="96" customHeight="1" spans="1:22">
      <c r="A7" s="22" t="s">
        <v>53</v>
      </c>
      <c r="B7" s="22" t="s">
        <v>25</v>
      </c>
      <c r="C7" s="23" t="s">
        <v>54</v>
      </c>
      <c r="D7" s="24" t="s">
        <v>55</v>
      </c>
      <c r="E7" s="23" t="s">
        <v>56</v>
      </c>
      <c r="F7" s="23" t="s">
        <v>57</v>
      </c>
      <c r="G7" s="23" t="s">
        <v>58</v>
      </c>
      <c r="H7" s="23" t="s">
        <v>59</v>
      </c>
      <c r="I7" s="23" t="s">
        <v>47</v>
      </c>
      <c r="J7" s="23" t="s">
        <v>60</v>
      </c>
      <c r="K7" s="23" t="s">
        <v>61</v>
      </c>
      <c r="L7" s="25">
        <v>2</v>
      </c>
      <c r="M7" s="25">
        <v>3</v>
      </c>
      <c r="N7" s="25">
        <v>2</v>
      </c>
      <c r="O7" s="25">
        <v>2</v>
      </c>
      <c r="P7" s="26">
        <f t="shared" si="0"/>
        <v>24</v>
      </c>
      <c r="Q7" s="27" t="s">
        <v>62</v>
      </c>
      <c r="R7" s="28" t="s">
        <v>63</v>
      </c>
      <c r="S7" s="28" t="s">
        <v>64</v>
      </c>
      <c r="T7" s="29" t="s">
        <v>65</v>
      </c>
      <c r="U7" s="20">
        <f t="shared" si="1"/>
        <v>4</v>
      </c>
      <c r="V7" s="21"/>
    </row>
    <row r="8" ht="96" customHeight="1" spans="1:22">
      <c r="A8" s="22" t="s">
        <v>66</v>
      </c>
      <c r="B8" s="22" t="s">
        <v>25</v>
      </c>
      <c r="C8" s="23" t="s">
        <v>67</v>
      </c>
      <c r="D8" s="24" t="s">
        <v>55</v>
      </c>
      <c r="E8" s="23" t="s">
        <v>68</v>
      </c>
      <c r="F8" s="23" t="s">
        <v>69</v>
      </c>
      <c r="G8" s="23" t="s">
        <v>70</v>
      </c>
      <c r="H8" s="23" t="s">
        <v>71</v>
      </c>
      <c r="I8" s="23" t="s">
        <v>47</v>
      </c>
      <c r="J8" s="23" t="s">
        <v>72</v>
      </c>
      <c r="K8" s="23" t="s">
        <v>73</v>
      </c>
      <c r="L8" s="25">
        <v>3</v>
      </c>
      <c r="M8" s="25">
        <v>3</v>
      </c>
      <c r="N8" s="25">
        <v>2</v>
      </c>
      <c r="O8" s="25">
        <v>2</v>
      </c>
      <c r="P8" s="26">
        <f t="shared" si="0"/>
        <v>36</v>
      </c>
      <c r="Q8" s="27" t="s">
        <v>74</v>
      </c>
      <c r="R8" s="28" t="s">
        <v>75</v>
      </c>
      <c r="S8" s="28" t="s">
        <v>76</v>
      </c>
      <c r="T8" s="29" t="s">
        <v>77</v>
      </c>
      <c r="U8" s="20">
        <f t="shared" si="1"/>
        <v>1</v>
      </c>
    </row>
    <row r="9" ht="96" customHeight="1" spans="1:22">
      <c r="A9" s="22" t="s">
        <v>78</v>
      </c>
      <c r="B9" s="22" t="s">
        <v>79</v>
      </c>
      <c r="C9" s="23" t="s">
        <v>80</v>
      </c>
      <c r="D9" s="24" t="s">
        <v>81</v>
      </c>
      <c r="E9" s="23" t="s">
        <v>82</v>
      </c>
      <c r="F9" s="23" t="s">
        <v>57</v>
      </c>
      <c r="G9" s="23" t="s">
        <v>83</v>
      </c>
      <c r="H9" s="23" t="s">
        <v>84</v>
      </c>
      <c r="I9" s="23" t="s">
        <v>47</v>
      </c>
      <c r="J9" s="23" t="s">
        <v>85</v>
      </c>
      <c r="K9" s="23" t="s">
        <v>86</v>
      </c>
      <c r="L9" s="25">
        <v>2</v>
      </c>
      <c r="M9" s="25">
        <v>2</v>
      </c>
      <c r="N9" s="25">
        <v>2</v>
      </c>
      <c r="O9" s="25">
        <v>2</v>
      </c>
      <c r="P9" s="26">
        <f t="shared" si="0"/>
        <v>16</v>
      </c>
      <c r="Q9" s="27" t="s">
        <v>74</v>
      </c>
      <c r="R9" s="28" t="s">
        <v>87</v>
      </c>
      <c r="S9" s="28" t="s">
        <v>88</v>
      </c>
      <c r="T9" s="29" t="s">
        <v>89</v>
      </c>
      <c r="U9" s="20">
        <f t="shared" si="1"/>
        <v>6</v>
      </c>
    </row>
    <row r="10" ht="96" customHeight="1" spans="1:22">
      <c r="A10" s="22" t="s">
        <v>90</v>
      </c>
      <c r="B10" s="22" t="s">
        <v>91</v>
      </c>
      <c r="C10" s="23" t="s">
        <v>92</v>
      </c>
      <c r="D10" s="24" t="s">
        <v>93</v>
      </c>
      <c r="E10" s="23" t="s">
        <v>94</v>
      </c>
      <c r="F10" s="23" t="s">
        <v>57</v>
      </c>
      <c r="G10" s="23" t="s">
        <v>95</v>
      </c>
      <c r="H10" s="23" t="s">
        <v>96</v>
      </c>
      <c r="I10" s="23" t="s">
        <v>47</v>
      </c>
      <c r="J10" s="23" t="s">
        <v>97</v>
      </c>
      <c r="K10" s="23" t="s">
        <v>98</v>
      </c>
      <c r="L10" s="25">
        <v>1</v>
      </c>
      <c r="M10" s="25">
        <v>2</v>
      </c>
      <c r="N10" s="25">
        <v>2</v>
      </c>
      <c r="O10" s="25">
        <v>2</v>
      </c>
      <c r="P10" s="26">
        <f t="shared" si="0"/>
        <v>8</v>
      </c>
      <c r="Q10" s="30" t="s">
        <v>99</v>
      </c>
      <c r="R10" s="28" t="s">
        <v>100</v>
      </c>
      <c r="S10" s="28" t="s">
        <v>101</v>
      </c>
      <c r="T10" s="29" t="s">
        <v>102</v>
      </c>
      <c r="U10" s="20">
        <f t="shared" si="1"/>
        <v>7</v>
      </c>
    </row>
    <row r="11" ht="112" customHeight="1" spans="1:22">
      <c r="A11" s="31" t="s">
        <v>103</v>
      </c>
      <c r="B11" s="31" t="s">
        <v>104</v>
      </c>
      <c r="C11" s="32" t="s">
        <v>105</v>
      </c>
      <c r="D11" s="33" t="s">
        <v>106</v>
      </c>
      <c r="E11" s="32" t="s">
        <v>107</v>
      </c>
      <c r="F11" s="32" t="s">
        <v>108</v>
      </c>
      <c r="G11" s="32" t="s">
        <v>109</v>
      </c>
      <c r="H11" s="32" t="s">
        <v>110</v>
      </c>
      <c r="I11" s="32" t="s">
        <v>47</v>
      </c>
      <c r="J11" s="32" t="s">
        <v>111</v>
      </c>
      <c r="K11" s="32" t="s">
        <v>112</v>
      </c>
      <c r="L11" s="34">
        <v>3</v>
      </c>
      <c r="M11" s="34">
        <v>2</v>
      </c>
      <c r="N11" s="34">
        <v>2</v>
      </c>
      <c r="O11" s="34">
        <v>3</v>
      </c>
      <c r="P11" s="35">
        <f t="shared" si="0"/>
        <v>36</v>
      </c>
      <c r="Q11" s="36" t="s">
        <v>113</v>
      </c>
      <c r="R11" s="37" t="s">
        <v>114</v>
      </c>
      <c r="S11" s="37" t="s">
        <v>115</v>
      </c>
      <c r="T11" s="38" t="s">
        <v>116</v>
      </c>
      <c r="U11" s="20">
        <f t="shared" si="1"/>
        <v>1</v>
      </c>
    </row>
    <row r="13" ht="30" customHeight="1" spans="1:22">
      <c r="A13" s="39" t="s">
        <v>117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ht="28" customHeight="1" spans="1:22">
      <c r="A14" s="40" t="s">
        <v>118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</row>
  </sheetData>
  <mergeCells count="4">
    <mergeCell ref="A2:S2"/>
    <mergeCell ref="A13:S13"/>
    <mergeCell ref="A14:S14"/>
    <mergeCell ref="V5:V7"/>
  </mergeCells>
  <dataValidations count="3">
    <dataValidation type="list" sqref="I5:I11">
      <formula1>"是,部分,否,未知,是 / 部分"</formula1>
    </dataValidation>
    <dataValidation type="list" sqref="Q5:Q11">
      <formula1>"P0候选,P0支撑原则,P1候选,继续观察"</formula1>
    </dataValidation>
    <dataValidation type="whole" operator="between" sqref="L5:O11">
      <formula1>1</formula1>
      <formula2>3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01_初步痛点池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蔡中琴</cp:lastModifiedBy>
  <dcterms:created xsi:type="dcterms:W3CDTF">2026-08-08T07:14:54Z</dcterms:created>
  <dcterms:modified xsi:type="dcterms:W3CDTF">2026-08-08T07:49:46Z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11E50777FCD04459B946F15739C53139_12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